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ational Summary" sheetId="1" state="visible" r:id="rId3"/>
    <sheet name="Accidents by State" sheetId="2" state="visible" r:id="rId4"/>
    <sheet name="Fatalities by State" sheetId="3" state="visible" r:id="rId5"/>
    <sheet name="Injuries by Stat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<sst xmlns="http://schemas.openxmlformats.org/spreadsheetml/2006/main" count="163" uniqueCount="67">
  <si>
    <t xml:space="preserve">Road Accidents in India — National Summary, 2018–2022</t>
  </si>
  <si>
    <t xml:space="preserve">Source: Ministry of Road Transport &amp; Highways (MoRTH), published by PIB, Release ID 2042509, 07 Aug 2024</t>
  </si>
  <si>
    <t xml:space="preserve">https://www.pib.gov.in/PressReleasePage.aspx?PRID=2042509</t>
  </si>
  <si>
    <t xml:space="preserve">Year</t>
  </si>
  <si>
    <t xml:space="preserve">Total Accidents</t>
  </si>
  <si>
    <t xml:space="preserve">Total Fatalities</t>
  </si>
  <si>
    <t xml:space="preserve">Total Persons Injured</t>
  </si>
  <si>
    <t xml:space="preserve">Fatality Rate (per 100 accidents)</t>
  </si>
  <si>
    <t xml:space="preserve">National Highways (incl. Expressways) share, 2022</t>
  </si>
  <si>
    <t xml:space="preserve">Category</t>
  </si>
  <si>
    <t xml:space="preserve">All Roads</t>
  </si>
  <si>
    <t xml:space="preserve">National Highways</t>
  </si>
  <si>
    <t xml:space="preserve">% Share on NH</t>
  </si>
  <si>
    <t xml:space="preserve">No. of Road Accidents</t>
  </si>
  <si>
    <t xml:space="preserve">No. of Fatalities</t>
  </si>
  <si>
    <t xml:space="preserve">Fatality Rate = Fatalities ÷ Accidents × 100. This workbook reproduces official government figures; it does not use the synthetic hotspot dataset from the earlier dashboard build.</t>
  </si>
  <si>
    <t xml:space="preserve">State/UT-wise Road Accidents in India, 2018–2022</t>
  </si>
  <si>
    <t xml:space="preserve">Source: Ministry of Road Transport &amp; Highways, via PIB Release ID 2042509 (07 Aug 2024)</t>
  </si>
  <si>
    <t xml:space="preserve">S.No.</t>
  </si>
  <si>
    <t xml:space="preserve">State/UT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</si>
  <si>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</si>
  <si>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</si>
  <si>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</si>
  <si>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</si>
  <si>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</si>
  <si>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5-yr Total</t>
  </si>
  <si>
    <t xml:space="preserve">Andhra Pradesh</t>
  </si>
  <si>
    <t xml:space="preserve">Arunachal Pradesh</t>
  </si>
  <si>
    <t xml:space="preserve">Assam</t>
  </si>
  <si>
    <t xml:space="preserve">Bihar</t>
  </si>
  <si>
    <t xml:space="preserve">Chhattisgarh</t>
  </si>
  <si>
    <t xml:space="preserve">Goa</t>
  </si>
  <si>
    <t xml:space="preserve">Gujarat</t>
  </si>
  <si>
    <t xml:space="preserve">Haryana</t>
  </si>
  <si>
    <t xml:space="preserve">Himachal Pradesh</t>
  </si>
  <si>
    <t xml:space="preserve">Jharkhand</t>
  </si>
  <si>
    <t xml:space="preserve">Karnataka</t>
  </si>
  <si>
    <t xml:space="preserve">Kerala</t>
  </si>
  <si>
    <t xml:space="preserve">Madhya Pradesh</t>
  </si>
  <si>
    <t xml:space="preserve">Maharashtra</t>
  </si>
  <si>
    <t xml:space="preserve">Manipur</t>
  </si>
  <si>
    <t xml:space="preserve">Meghalaya</t>
  </si>
  <si>
    <t xml:space="preserve">Mizoram</t>
  </si>
  <si>
    <t xml:space="preserve">Nagaland</t>
  </si>
  <si>
    <t xml:space="preserve">Odisha</t>
  </si>
  <si>
    <t xml:space="preserve">Punjab</t>
  </si>
  <si>
    <t xml:space="preserve">Rajasthan</t>
  </si>
  <si>
    <t xml:space="preserve">Sikkim</t>
  </si>
  <si>
    <t xml:space="preserve">Tamil Nadu</t>
  </si>
  <si>
    <t xml:space="preserve">Telangana</t>
  </si>
  <si>
    <t xml:space="preserve">Tripura</t>
  </si>
  <si>
    <t xml:space="preserve">Uttarakhand</t>
  </si>
  <si>
    <t xml:space="preserve">Uttar Pradesh</t>
  </si>
  <si>
    <t xml:space="preserve">West Bengal</t>
  </si>
  <si>
    <t xml:space="preserve">Andaman &amp; Nicobar Islands</t>
  </si>
  <si>
    <t xml:space="preserve">Chandigarh</t>
  </si>
  <si>
    <t xml:space="preserve">Dadra &amp; Nagar Haveli*</t>
  </si>
  <si>
    <t xml:space="preserve">Daman &amp; Diu</t>
  </si>
  <si>
    <t xml:space="preserve">Delhi</t>
  </si>
  <si>
    <t xml:space="preserve">Jammu &amp; Kashmir$</t>
  </si>
  <si>
    <t xml:space="preserve">Ladakh</t>
  </si>
  <si>
    <t xml:space="preserve">Lakshadweep</t>
  </si>
  <si>
    <t xml:space="preserve">Puducherry</t>
  </si>
  <si>
    <t xml:space="preserve">Total (All India)</t>
  </si>
  <si>
    <t xml:space="preserve">* Includes Daman &amp; Diu data for 2020–2022.  $ Includes Ladakh data for 2018–2020. Blank cells = not applicable / boundary change in that year.</t>
  </si>
  <si>
    <t xml:space="preserve">State/UT-wise Road Fatalities in India, 2018–2022</t>
  </si>
  <si>
    <t xml:space="preserve">State/UT-wise Road Injuries in India, 2018–2022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</si>
</sst>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4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EDEFF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FF3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8"/>
    <col collapsed="false" customWidth="true" hidden="false" outlineLevel="0" max="4" min="4" style="0" width="22"/>
    <col collapsed="false" customWidth="true" hidden="false" outlineLevel="0" max="5" min="5" style="0" width="2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 t="s">
        <v>2</v>
      </c>
      <c r="B3" s="2"/>
      <c r="C3" s="2"/>
      <c r="D3" s="2"/>
      <c r="E3" s="2"/>
      <c r="F3" s="2"/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customFormat="false" ht="15" hidden="false" customHeight="false" outlineLevel="0" collapsed="false">
      <c r="A6" s="4" t="n">
        <v>2018</v>
      </c>
      <c r="B6" s="5" t="n">
        <v>470403</v>
      </c>
      <c r="C6" s="5" t="n">
        <v>157593</v>
      </c>
      <c r="D6" s="5" t="n">
        <v>464715</v>
      </c>
      <c r="E6" s="6" t="n">
        <f aca="false">C6/B6*100</f>
        <v>33.5016996065076</v>
      </c>
    </row>
    <row r="7" customFormat="false" ht="15" hidden="false" customHeight="false" outlineLevel="0" collapsed="false">
      <c r="A7" s="4" t="n">
        <v>2019</v>
      </c>
      <c r="B7" s="5" t="n">
        <v>456959</v>
      </c>
      <c r="C7" s="5" t="n">
        <v>158984</v>
      </c>
      <c r="D7" s="5" t="n">
        <v>449360</v>
      </c>
      <c r="E7" s="6" t="n">
        <f aca="false">C7/B7*100</f>
        <v>34.791742804059</v>
      </c>
    </row>
    <row r="8" customFormat="false" ht="15" hidden="false" customHeight="false" outlineLevel="0" collapsed="false">
      <c r="A8" s="4" t="n">
        <v>2020</v>
      </c>
      <c r="B8" s="5" t="n">
        <v>372181</v>
      </c>
      <c r="C8" s="5" t="n">
        <v>138383</v>
      </c>
      <c r="D8" s="5" t="n">
        <v>346747</v>
      </c>
      <c r="E8" s="6" t="n">
        <f aca="false">C8/B8*100</f>
        <v>37.1816401159651</v>
      </c>
    </row>
    <row r="9" customFormat="false" ht="15" hidden="false" customHeight="false" outlineLevel="0" collapsed="false">
      <c r="A9" s="4" t="n">
        <v>2021</v>
      </c>
      <c r="B9" s="5" t="n">
        <v>412432</v>
      </c>
      <c r="C9" s="5" t="n">
        <v>153972</v>
      </c>
      <c r="D9" s="5" t="n">
        <v>384448</v>
      </c>
      <c r="E9" s="6" t="n">
        <f aca="false">C9/B9*100</f>
        <v>37.3326996935252</v>
      </c>
    </row>
    <row r="10" customFormat="false" ht="15" hidden="false" customHeight="false" outlineLevel="0" collapsed="false">
      <c r="A10" s="4" t="n">
        <v>2022</v>
      </c>
      <c r="B10" s="5" t="n">
        <v>461312</v>
      </c>
      <c r="C10" s="5" t="n">
        <v>168491</v>
      </c>
      <c r="D10" s="5" t="n">
        <v>443366</v>
      </c>
      <c r="E10" s="6" t="n">
        <f aca="false">C10/B10*100</f>
        <v>36.5243045921199</v>
      </c>
    </row>
    <row r="13" customFormat="false" ht="15" hidden="false" customHeight="false" outlineLevel="0" collapsed="false">
      <c r="A13" s="7" t="s">
        <v>8</v>
      </c>
    </row>
    <row r="14" customFormat="false" ht="15" hidden="false" customHeight="false" outlineLevel="0" collapsed="false">
      <c r="A14" s="8" t="s">
        <v>9</v>
      </c>
      <c r="B14" s="8" t="s">
        <v>10</v>
      </c>
      <c r="C14" s="8" t="s">
        <v>11</v>
      </c>
      <c r="D14" s="8" t="s">
        <v>12</v>
      </c>
    </row>
    <row r="15" customFormat="false" ht="15" hidden="false" customHeight="false" outlineLevel="0" collapsed="false">
      <c r="A15" s="4" t="s">
        <v>13</v>
      </c>
      <c r="B15" s="5" t="n">
        <v>461312</v>
      </c>
      <c r="C15" s="5" t="n">
        <v>151997</v>
      </c>
      <c r="D15" s="9" t="n">
        <f aca="false">C15/B15*100</f>
        <v>32.9488502358491</v>
      </c>
    </row>
    <row r="16" customFormat="false" ht="15" hidden="false" customHeight="false" outlineLevel="0" collapsed="false">
      <c r="A16" s="4" t="s">
        <v>14</v>
      </c>
      <c r="B16" s="5" t="n">
        <v>168491</v>
      </c>
      <c r="C16" s="5" t="n">
        <v>61038</v>
      </c>
      <c r="D16" s="9" t="n">
        <f aca="false">C16/B16*100</f>
        <v>36.226267278371</v>
      </c>
    </row>
    <row r="19" customFormat="false" ht="15" hidden="false" customHeight="false" outlineLevel="0" collapsed="false">
      <c r="A19" s="2" t="s">
        <v>15</v>
      </c>
      <c r="B19" s="2"/>
      <c r="C19" s="2"/>
      <c r="D19" s="2"/>
      <c r="E19" s="2"/>
    </row>
  </sheetData>
  <mergeCells count="4">
    <mergeCell ref="A1:F1"/>
    <mergeCell ref="A2:F2"/>
    <mergeCell ref="A3:F3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7" min="3" style="0" width="11"/>
    <col collapsed="false" customWidth="true" hidden="false" outlineLevel="0" max="8" min="8" style="0" width="13"/>
  </cols>
  <sheetData>
    <row r="1" customFormat="false" ht="17.35" hidden="false" customHeight="false" outlineLevel="0" collapsed="false">
      <c r="A1" s="1" t="s">
        <v>16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17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</row>
    <row r="5" customFormat="false" ht="15" hidden="false" customHeight="false" outlineLevel="0" collapsed="false">
      <c r="A5" s="4" t="n">
        <v>1</v>
      </c>
      <c r="B5" s="4" t="s">
        <v>26</v>
      </c>
      <c r="C5" s="5" t="n">
        <v>24475</v>
      </c>
      <c r="D5" s="5" t="n">
        <v>21992</v>
      </c>
      <c r="E5" s="5" t="n">
        <v>19509</v>
      </c>
      <c r="F5" s="5" t="n">
        <v>21556</v>
      </c>
      <c r="G5" s="5" t="n">
        <v>21249</v>
      </c>
      <c r="H5" s="5" t="n">
        <f aca="false">SUM(C5:G5)</f>
        <v>108781</v>
      </c>
    </row>
    <row r="6" customFormat="false" ht="15" hidden="false" customHeight="false" outlineLevel="0" collapsed="false">
      <c r="A6" s="4" t="n">
        <v>2</v>
      </c>
      <c r="B6" s="4" t="s">
        <v>27</v>
      </c>
      <c r="C6" s="5" t="n">
        <v>277</v>
      </c>
      <c r="D6" s="5" t="n">
        <v>237</v>
      </c>
      <c r="E6" s="5" t="n">
        <v>134</v>
      </c>
      <c r="F6" s="5" t="n">
        <v>283</v>
      </c>
      <c r="G6" s="5" t="n">
        <v>227</v>
      </c>
      <c r="H6" s="5" t="n">
        <f aca="false">SUM(C6:G6)</f>
        <v>1158</v>
      </c>
    </row>
    <row r="7" customFormat="false" ht="15" hidden="false" customHeight="false" outlineLevel="0" collapsed="false">
      <c r="A7" s="4" t="n">
        <v>3</v>
      </c>
      <c r="B7" s="4" t="s">
        <v>28</v>
      </c>
      <c r="C7" s="5" t="n">
        <v>8248</v>
      </c>
      <c r="D7" s="5" t="n">
        <v>8350</v>
      </c>
      <c r="E7" s="5" t="n">
        <v>6595</v>
      </c>
      <c r="F7" s="5" t="n">
        <v>7411</v>
      </c>
      <c r="G7" s="5" t="n">
        <v>7023</v>
      </c>
      <c r="H7" s="5" t="n">
        <f aca="false">SUM(C7:G7)</f>
        <v>37627</v>
      </c>
    </row>
    <row r="8" customFormat="false" ht="15" hidden="false" customHeight="false" outlineLevel="0" collapsed="false">
      <c r="A8" s="4" t="n">
        <v>4</v>
      </c>
      <c r="B8" s="4" t="s">
        <v>29</v>
      </c>
      <c r="C8" s="5" t="n">
        <v>9600</v>
      </c>
      <c r="D8" s="5" t="n">
        <v>10007</v>
      </c>
      <c r="E8" s="5" t="n">
        <v>8639</v>
      </c>
      <c r="F8" s="5" t="n">
        <v>9553</v>
      </c>
      <c r="G8" s="5" t="n">
        <v>10801</v>
      </c>
      <c r="H8" s="5" t="n">
        <f aca="false">SUM(C8:G8)</f>
        <v>48600</v>
      </c>
    </row>
    <row r="9" customFormat="false" ht="15" hidden="false" customHeight="false" outlineLevel="0" collapsed="false">
      <c r="A9" s="4" t="n">
        <v>5</v>
      </c>
      <c r="B9" s="4" t="s">
        <v>30</v>
      </c>
      <c r="C9" s="5" t="n">
        <v>13864</v>
      </c>
      <c r="D9" s="5" t="n">
        <v>13899</v>
      </c>
      <c r="E9" s="5" t="n">
        <v>11656</v>
      </c>
      <c r="F9" s="5" t="n">
        <v>12375</v>
      </c>
      <c r="G9" s="5" t="n">
        <v>13279</v>
      </c>
      <c r="H9" s="5" t="n">
        <f aca="false">SUM(C9:G9)</f>
        <v>65073</v>
      </c>
    </row>
    <row r="10" customFormat="false" ht="15" hidden="false" customHeight="false" outlineLevel="0" collapsed="false">
      <c r="A10" s="4" t="n">
        <v>6</v>
      </c>
      <c r="B10" s="4" t="s">
        <v>31</v>
      </c>
      <c r="C10" s="5" t="n">
        <v>3709</v>
      </c>
      <c r="D10" s="5" t="n">
        <v>3440</v>
      </c>
      <c r="E10" s="5" t="n">
        <v>2375</v>
      </c>
      <c r="F10" s="5" t="n">
        <v>2849</v>
      </c>
      <c r="G10" s="5" t="n">
        <v>3011</v>
      </c>
      <c r="H10" s="5" t="n">
        <f aca="false">SUM(C10:G10)</f>
        <v>15384</v>
      </c>
    </row>
    <row r="11" customFormat="false" ht="15" hidden="false" customHeight="false" outlineLevel="0" collapsed="false">
      <c r="A11" s="4" t="n">
        <v>7</v>
      </c>
      <c r="B11" s="4" t="s">
        <v>32</v>
      </c>
      <c r="C11" s="5" t="n">
        <v>18769</v>
      </c>
      <c r="D11" s="5" t="n">
        <v>17046</v>
      </c>
      <c r="E11" s="5" t="n">
        <v>13398</v>
      </c>
      <c r="F11" s="5" t="n">
        <v>15186</v>
      </c>
      <c r="G11" s="5" t="n">
        <v>15751</v>
      </c>
      <c r="H11" s="5" t="n">
        <f aca="false">SUM(C11:G11)</f>
        <v>80150</v>
      </c>
    </row>
    <row r="12" customFormat="false" ht="15" hidden="false" customHeight="false" outlineLevel="0" collapsed="false">
      <c r="A12" s="4" t="n">
        <v>8</v>
      </c>
      <c r="B12" s="4" t="s">
        <v>33</v>
      </c>
      <c r="C12" s="5" t="n">
        <v>11238</v>
      </c>
      <c r="D12" s="5" t="n">
        <v>10944</v>
      </c>
      <c r="E12" s="5" t="n">
        <v>9431</v>
      </c>
      <c r="F12" s="5" t="n">
        <v>9933</v>
      </c>
      <c r="G12" s="5" t="n">
        <v>10429</v>
      </c>
      <c r="H12" s="5" t="n">
        <f aca="false">SUM(C12:G12)</f>
        <v>51975</v>
      </c>
    </row>
    <row r="13" customFormat="false" ht="15" hidden="false" customHeight="false" outlineLevel="0" collapsed="false">
      <c r="A13" s="4" t="n">
        <v>9</v>
      </c>
      <c r="B13" s="4" t="s">
        <v>34</v>
      </c>
      <c r="C13" s="5" t="n">
        <v>3110</v>
      </c>
      <c r="D13" s="5" t="n">
        <v>2873</v>
      </c>
      <c r="E13" s="5" t="n">
        <v>2239</v>
      </c>
      <c r="F13" s="5" t="n">
        <v>2404</v>
      </c>
      <c r="G13" s="5" t="n">
        <v>2597</v>
      </c>
      <c r="H13" s="5" t="n">
        <f aca="false">SUM(C13:G13)</f>
        <v>13223</v>
      </c>
    </row>
    <row r="14" customFormat="false" ht="15" hidden="false" customHeight="false" outlineLevel="0" collapsed="false">
      <c r="A14" s="4" t="n">
        <v>10</v>
      </c>
      <c r="B14" s="4" t="s">
        <v>35</v>
      </c>
      <c r="C14" s="5" t="n">
        <v>5394</v>
      </c>
      <c r="D14" s="5" t="n">
        <v>5217</v>
      </c>
      <c r="E14" s="5" t="n">
        <v>4405</v>
      </c>
      <c r="F14" s="5" t="n">
        <v>4728</v>
      </c>
      <c r="G14" s="5" t="n">
        <v>5175</v>
      </c>
      <c r="H14" s="5" t="n">
        <f aca="false">SUM(C14:G14)</f>
        <v>24919</v>
      </c>
    </row>
    <row r="15" customFormat="false" ht="15" hidden="false" customHeight="false" outlineLevel="0" collapsed="false">
      <c r="A15" s="4" t="n">
        <v>11</v>
      </c>
      <c r="B15" s="4" t="s">
        <v>36</v>
      </c>
      <c r="C15" s="5" t="n">
        <v>41707</v>
      </c>
      <c r="D15" s="5" t="n">
        <v>40658</v>
      </c>
      <c r="E15" s="5" t="n">
        <v>34178</v>
      </c>
      <c r="F15" s="5" t="n">
        <v>34647</v>
      </c>
      <c r="G15" s="5" t="n">
        <v>39762</v>
      </c>
      <c r="H15" s="5" t="n">
        <f aca="false">SUM(C15:G15)</f>
        <v>190952</v>
      </c>
    </row>
    <row r="16" customFormat="false" ht="15" hidden="false" customHeight="false" outlineLevel="0" collapsed="false">
      <c r="A16" s="4" t="n">
        <v>12</v>
      </c>
      <c r="B16" s="4" t="s">
        <v>37</v>
      </c>
      <c r="C16" s="5" t="n">
        <v>40181</v>
      </c>
      <c r="D16" s="5" t="n">
        <v>41111</v>
      </c>
      <c r="E16" s="5" t="n">
        <v>27877</v>
      </c>
      <c r="F16" s="5" t="n">
        <v>33296</v>
      </c>
      <c r="G16" s="5" t="n">
        <v>43910</v>
      </c>
      <c r="H16" s="5" t="n">
        <f aca="false">SUM(C16:G16)</f>
        <v>186375</v>
      </c>
    </row>
    <row r="17" customFormat="false" ht="15" hidden="false" customHeight="false" outlineLevel="0" collapsed="false">
      <c r="A17" s="4" t="n">
        <v>13</v>
      </c>
      <c r="B17" s="4" t="s">
        <v>38</v>
      </c>
      <c r="C17" s="5" t="n">
        <v>51397</v>
      </c>
      <c r="D17" s="5" t="n">
        <v>50669</v>
      </c>
      <c r="E17" s="5" t="n">
        <v>45266</v>
      </c>
      <c r="F17" s="5" t="n">
        <v>48877</v>
      </c>
      <c r="G17" s="5" t="n">
        <v>54432</v>
      </c>
      <c r="H17" s="5" t="n">
        <f aca="false">SUM(C17:G17)</f>
        <v>250641</v>
      </c>
    </row>
    <row r="18" customFormat="false" ht="15" hidden="false" customHeight="false" outlineLevel="0" collapsed="false">
      <c r="A18" s="4" t="n">
        <v>14</v>
      </c>
      <c r="B18" s="4" t="s">
        <v>39</v>
      </c>
      <c r="C18" s="5" t="n">
        <v>35717</v>
      </c>
      <c r="D18" s="5" t="n">
        <v>32925</v>
      </c>
      <c r="E18" s="5" t="n">
        <v>24971</v>
      </c>
      <c r="F18" s="5" t="n">
        <v>29477</v>
      </c>
      <c r="G18" s="5" t="n">
        <v>33383</v>
      </c>
      <c r="H18" s="5" t="n">
        <f aca="false">SUM(C18:G18)</f>
        <v>156473</v>
      </c>
    </row>
    <row r="19" customFormat="false" ht="15" hidden="false" customHeight="false" outlineLevel="0" collapsed="false">
      <c r="A19" s="4" t="n">
        <v>15</v>
      </c>
      <c r="B19" s="4" t="s">
        <v>40</v>
      </c>
      <c r="C19" s="5" t="n">
        <v>601</v>
      </c>
      <c r="D19" s="5" t="n">
        <v>672</v>
      </c>
      <c r="E19" s="5" t="n">
        <v>432</v>
      </c>
      <c r="F19" s="5" t="n">
        <v>366</v>
      </c>
      <c r="G19" s="5" t="n">
        <v>508</v>
      </c>
      <c r="H19" s="5" t="n">
        <f aca="false">SUM(C19:G19)</f>
        <v>2579</v>
      </c>
    </row>
    <row r="20" customFormat="false" ht="15" hidden="false" customHeight="false" outlineLevel="0" collapsed="false">
      <c r="A20" s="4" t="n">
        <v>16</v>
      </c>
      <c r="B20" s="4" t="s">
        <v>41</v>
      </c>
      <c r="C20" s="5" t="n">
        <v>399</v>
      </c>
      <c r="D20" s="5" t="n">
        <v>482</v>
      </c>
      <c r="E20" s="5" t="n">
        <v>214</v>
      </c>
      <c r="F20" s="5" t="n">
        <v>245</v>
      </c>
      <c r="G20" s="5" t="n">
        <v>246</v>
      </c>
      <c r="H20" s="5" t="n">
        <f aca="false">SUM(C20:G20)</f>
        <v>1586</v>
      </c>
    </row>
    <row r="21" customFormat="false" ht="15" hidden="false" customHeight="false" outlineLevel="0" collapsed="false">
      <c r="A21" s="4" t="n">
        <v>17</v>
      </c>
      <c r="B21" s="4" t="s">
        <v>42</v>
      </c>
      <c r="C21" s="5" t="n">
        <v>53</v>
      </c>
      <c r="D21" s="5" t="n">
        <v>62</v>
      </c>
      <c r="E21" s="5" t="n">
        <v>53</v>
      </c>
      <c r="F21" s="5" t="n">
        <v>69</v>
      </c>
      <c r="G21" s="5" t="n">
        <v>133</v>
      </c>
      <c r="H21" s="5" t="n">
        <f aca="false">SUM(C21:G21)</f>
        <v>370</v>
      </c>
    </row>
    <row r="22" customFormat="false" ht="15" hidden="false" customHeight="false" outlineLevel="0" collapsed="false">
      <c r="A22" s="4" t="n">
        <v>18</v>
      </c>
      <c r="B22" s="4" t="s">
        <v>43</v>
      </c>
      <c r="C22" s="5" t="n">
        <v>430</v>
      </c>
      <c r="D22" s="5" t="n">
        <v>358</v>
      </c>
      <c r="E22" s="5" t="n">
        <v>500</v>
      </c>
      <c r="F22" s="5" t="n">
        <v>746</v>
      </c>
      <c r="G22" s="5" t="n">
        <v>489</v>
      </c>
      <c r="H22" s="5" t="n">
        <f aca="false">SUM(C22:G22)</f>
        <v>2523</v>
      </c>
    </row>
    <row r="23" customFormat="false" ht="15" hidden="false" customHeight="false" outlineLevel="0" collapsed="false">
      <c r="A23" s="4" t="n">
        <v>19</v>
      </c>
      <c r="B23" s="4" t="s">
        <v>44</v>
      </c>
      <c r="C23" s="5" t="n">
        <v>11262</v>
      </c>
      <c r="D23" s="5" t="n">
        <v>11064</v>
      </c>
      <c r="E23" s="5" t="n">
        <v>9817</v>
      </c>
      <c r="F23" s="5" t="n">
        <v>10983</v>
      </c>
      <c r="G23" s="5" t="n">
        <v>11663</v>
      </c>
      <c r="H23" s="5" t="n">
        <f aca="false">SUM(C23:G23)</f>
        <v>54789</v>
      </c>
    </row>
    <row r="24" customFormat="false" ht="15" hidden="false" customHeight="false" outlineLevel="0" collapsed="false">
      <c r="A24" s="4" t="n">
        <v>20</v>
      </c>
      <c r="B24" s="4" t="s">
        <v>45</v>
      </c>
      <c r="C24" s="5" t="n">
        <v>6428</v>
      </c>
      <c r="D24" s="5" t="n">
        <v>6348</v>
      </c>
      <c r="E24" s="5" t="n">
        <v>5203</v>
      </c>
      <c r="F24" s="5" t="n">
        <v>5871</v>
      </c>
      <c r="G24" s="5" t="n">
        <v>6138</v>
      </c>
      <c r="H24" s="5" t="n">
        <f aca="false">SUM(C24:G24)</f>
        <v>29988</v>
      </c>
    </row>
    <row r="25" customFormat="false" ht="15" hidden="false" customHeight="false" outlineLevel="0" collapsed="false">
      <c r="A25" s="4" t="n">
        <v>21</v>
      </c>
      <c r="B25" s="4" t="s">
        <v>46</v>
      </c>
      <c r="C25" s="5" t="n">
        <v>21743</v>
      </c>
      <c r="D25" s="5" t="n">
        <v>23480</v>
      </c>
      <c r="E25" s="5" t="n">
        <v>19114</v>
      </c>
      <c r="F25" s="5" t="n">
        <v>20951</v>
      </c>
      <c r="G25" s="5" t="n">
        <v>23614</v>
      </c>
      <c r="H25" s="5" t="n">
        <f aca="false">SUM(C25:G25)</f>
        <v>108902</v>
      </c>
    </row>
    <row r="26" customFormat="false" ht="15" hidden="false" customHeight="false" outlineLevel="0" collapsed="false">
      <c r="A26" s="4" t="n">
        <v>22</v>
      </c>
      <c r="B26" s="4" t="s">
        <v>47</v>
      </c>
      <c r="C26" s="5" t="n">
        <v>180</v>
      </c>
      <c r="D26" s="5" t="n">
        <v>162</v>
      </c>
      <c r="E26" s="5" t="n">
        <v>138</v>
      </c>
      <c r="F26" s="5" t="n">
        <v>155</v>
      </c>
      <c r="G26" s="5" t="n">
        <v>211</v>
      </c>
      <c r="H26" s="5" t="n">
        <f aca="false">SUM(C26:G26)</f>
        <v>846</v>
      </c>
    </row>
    <row r="27" customFormat="false" ht="15" hidden="false" customHeight="false" outlineLevel="0" collapsed="false">
      <c r="A27" s="4" t="n">
        <v>23</v>
      </c>
      <c r="B27" s="4" t="s">
        <v>48</v>
      </c>
      <c r="C27" s="5" t="n">
        <v>67279</v>
      </c>
      <c r="D27" s="5" t="n">
        <v>62685</v>
      </c>
      <c r="E27" s="5" t="n">
        <v>49844</v>
      </c>
      <c r="F27" s="5" t="n">
        <v>55682</v>
      </c>
      <c r="G27" s="5" t="n">
        <v>64105</v>
      </c>
      <c r="H27" s="5" t="n">
        <f aca="false">SUM(C27:G27)</f>
        <v>299595</v>
      </c>
    </row>
    <row r="28" customFormat="false" ht="15" hidden="false" customHeight="false" outlineLevel="0" collapsed="false">
      <c r="A28" s="4" t="n">
        <v>24</v>
      </c>
      <c r="B28" s="4" t="s">
        <v>49</v>
      </c>
      <c r="C28" s="5" t="n">
        <v>22230</v>
      </c>
      <c r="D28" s="5" t="n">
        <v>21570</v>
      </c>
      <c r="E28" s="5" t="n">
        <v>19172</v>
      </c>
      <c r="F28" s="5" t="n">
        <v>21315</v>
      </c>
      <c r="G28" s="5" t="n">
        <v>21619</v>
      </c>
      <c r="H28" s="5" t="n">
        <f aca="false">SUM(C28:G28)</f>
        <v>105906</v>
      </c>
    </row>
    <row r="29" customFormat="false" ht="15" hidden="false" customHeight="false" outlineLevel="0" collapsed="false">
      <c r="A29" s="4" t="n">
        <v>25</v>
      </c>
      <c r="B29" s="4" t="s">
        <v>50</v>
      </c>
      <c r="C29" s="5" t="n">
        <v>552</v>
      </c>
      <c r="D29" s="5" t="n">
        <v>655</v>
      </c>
      <c r="E29" s="5" t="n">
        <v>466</v>
      </c>
      <c r="F29" s="5" t="n">
        <v>479</v>
      </c>
      <c r="G29" s="5" t="n">
        <v>575</v>
      </c>
      <c r="H29" s="5" t="n">
        <f aca="false">SUM(C29:G29)</f>
        <v>2727</v>
      </c>
    </row>
    <row r="30" customFormat="false" ht="15" hidden="false" customHeight="false" outlineLevel="0" collapsed="false">
      <c r="A30" s="4" t="n">
        <v>26</v>
      </c>
      <c r="B30" s="4" t="s">
        <v>51</v>
      </c>
      <c r="C30" s="5" t="n">
        <v>1468</v>
      </c>
      <c r="D30" s="5" t="n">
        <v>1352</v>
      </c>
      <c r="E30" s="5" t="n">
        <v>1041</v>
      </c>
      <c r="F30" s="5" t="n">
        <v>1405</v>
      </c>
      <c r="G30" s="5" t="n">
        <v>1674</v>
      </c>
      <c r="H30" s="5" t="n">
        <f aca="false">SUM(C30:G30)</f>
        <v>6940</v>
      </c>
    </row>
    <row r="31" customFormat="false" ht="15" hidden="false" customHeight="false" outlineLevel="0" collapsed="false">
      <c r="A31" s="4" t="n">
        <v>27</v>
      </c>
      <c r="B31" s="4" t="s">
        <v>52</v>
      </c>
      <c r="C31" s="5" t="n">
        <v>42568</v>
      </c>
      <c r="D31" s="5" t="n">
        <v>42572</v>
      </c>
      <c r="E31" s="5" t="n">
        <v>34243</v>
      </c>
      <c r="F31" s="5" t="n">
        <v>37729</v>
      </c>
      <c r="G31" s="5" t="n">
        <v>41746</v>
      </c>
      <c r="H31" s="5" t="n">
        <f aca="false">SUM(C31:G31)</f>
        <v>198858</v>
      </c>
    </row>
    <row r="32" customFormat="false" ht="15" hidden="false" customHeight="false" outlineLevel="0" collapsed="false">
      <c r="A32" s="4" t="n">
        <v>28</v>
      </c>
      <c r="B32" s="4" t="s">
        <v>53</v>
      </c>
      <c r="C32" s="5" t="n">
        <v>12705</v>
      </c>
      <c r="D32" s="5" t="n">
        <v>12658</v>
      </c>
      <c r="E32" s="5" t="n">
        <v>10863</v>
      </c>
      <c r="F32" s="5" t="n">
        <v>11937</v>
      </c>
      <c r="G32" s="5" t="n">
        <v>13686</v>
      </c>
      <c r="H32" s="5" t="n">
        <f aca="false">SUM(C32:G32)</f>
        <v>61849</v>
      </c>
    </row>
    <row r="33" customFormat="false" ht="15" hidden="false" customHeight="false" outlineLevel="0" collapsed="false">
      <c r="A33" s="4" t="n">
        <v>29</v>
      </c>
      <c r="B33" s="4" t="s">
        <v>54</v>
      </c>
      <c r="C33" s="5" t="n">
        <v>254</v>
      </c>
      <c r="D33" s="5" t="n">
        <v>230</v>
      </c>
      <c r="E33" s="5" t="n">
        <v>141</v>
      </c>
      <c r="F33" s="5" t="n">
        <v>115</v>
      </c>
      <c r="G33" s="5" t="n">
        <v>141</v>
      </c>
      <c r="H33" s="5" t="n">
        <f aca="false">SUM(C33:G33)</f>
        <v>881</v>
      </c>
    </row>
    <row r="34" customFormat="false" ht="15" hidden="false" customHeight="false" outlineLevel="0" collapsed="false">
      <c r="A34" s="4" t="n">
        <v>30</v>
      </c>
      <c r="B34" s="4" t="s">
        <v>55</v>
      </c>
      <c r="C34" s="5" t="n">
        <v>316</v>
      </c>
      <c r="D34" s="5" t="n">
        <v>305</v>
      </c>
      <c r="E34" s="5" t="n">
        <v>159</v>
      </c>
      <c r="F34" s="5" t="n">
        <v>208</v>
      </c>
      <c r="G34" s="5" t="n">
        <v>237</v>
      </c>
      <c r="H34" s="5" t="n">
        <f aca="false">SUM(C34:G34)</f>
        <v>1225</v>
      </c>
    </row>
    <row r="35" customFormat="false" ht="15" hidden="false" customHeight="false" outlineLevel="0" collapsed="false">
      <c r="A35" s="4" t="n">
        <v>31</v>
      </c>
      <c r="B35" s="4" t="s">
        <v>56</v>
      </c>
      <c r="C35" s="5" t="n">
        <v>80</v>
      </c>
      <c r="D35" s="5" t="n">
        <v>68</v>
      </c>
      <c r="E35" s="5" t="n">
        <v>100</v>
      </c>
      <c r="F35" s="5" t="n">
        <v>140</v>
      </c>
      <c r="G35" s="5" t="n">
        <v>196</v>
      </c>
      <c r="H35" s="5" t="n">
        <f aca="false">SUM(C35:G35)</f>
        <v>584</v>
      </c>
    </row>
    <row r="36" customFormat="false" ht="15" hidden="false" customHeight="false" outlineLevel="0" collapsed="false">
      <c r="A36" s="4" t="n">
        <v>32</v>
      </c>
      <c r="B36" s="4" t="s">
        <v>57</v>
      </c>
      <c r="C36" s="5" t="n">
        <v>76</v>
      </c>
      <c r="D36" s="5" t="n">
        <v>69</v>
      </c>
      <c r="E36" s="5"/>
      <c r="F36" s="5"/>
      <c r="G36" s="5"/>
      <c r="H36" s="5" t="n">
        <f aca="false">SUM(C36:G36)</f>
        <v>145</v>
      </c>
    </row>
    <row r="37" customFormat="false" ht="15" hidden="false" customHeight="false" outlineLevel="0" collapsed="false">
      <c r="A37" s="4" t="n">
        <v>33</v>
      </c>
      <c r="B37" s="4" t="s">
        <v>58</v>
      </c>
      <c r="C37" s="5" t="n">
        <v>6515</v>
      </c>
      <c r="D37" s="5" t="n">
        <v>5610</v>
      </c>
      <c r="E37" s="5" t="n">
        <v>4178</v>
      </c>
      <c r="F37" s="5" t="n">
        <v>4720</v>
      </c>
      <c r="G37" s="5" t="n">
        <v>5652</v>
      </c>
      <c r="H37" s="5" t="n">
        <f aca="false">SUM(C37:G37)</f>
        <v>26675</v>
      </c>
    </row>
    <row r="38" customFormat="false" ht="15" hidden="false" customHeight="false" outlineLevel="0" collapsed="false">
      <c r="A38" s="4" t="n">
        <v>34</v>
      </c>
      <c r="B38" s="4" t="s">
        <v>59</v>
      </c>
      <c r="C38" s="5" t="n">
        <v>5978</v>
      </c>
      <c r="D38" s="5" t="n">
        <v>5796</v>
      </c>
      <c r="E38" s="5" t="n">
        <v>4860</v>
      </c>
      <c r="F38" s="5" t="n">
        <v>5452</v>
      </c>
      <c r="G38" s="5" t="n">
        <v>6092</v>
      </c>
      <c r="H38" s="5" t="n">
        <f aca="false">SUM(C38:G38)</f>
        <v>28178</v>
      </c>
    </row>
    <row r="39" customFormat="false" ht="15" hidden="false" customHeight="false" outlineLevel="0" collapsed="false">
      <c r="A39" s="4" t="n">
        <v>35</v>
      </c>
      <c r="B39" s="4" t="s">
        <v>60</v>
      </c>
      <c r="C39" s="5"/>
      <c r="D39" s="5"/>
      <c r="E39" s="5"/>
      <c r="F39" s="5" t="n">
        <v>236</v>
      </c>
      <c r="G39" s="5" t="n">
        <v>374</v>
      </c>
      <c r="H39" s="5" t="n">
        <f aca="false">SUM(C39:G39)</f>
        <v>610</v>
      </c>
    </row>
    <row r="40" customFormat="false" ht="15" hidden="false" customHeight="false" outlineLevel="0" collapsed="false">
      <c r="A40" s="4" t="n">
        <v>36</v>
      </c>
      <c r="B40" s="4" t="s">
        <v>61</v>
      </c>
      <c r="C40" s="5" t="n">
        <v>3</v>
      </c>
      <c r="D40" s="5" t="n">
        <v>1</v>
      </c>
      <c r="E40" s="5" t="n">
        <v>1</v>
      </c>
      <c r="F40" s="5" t="n">
        <v>4</v>
      </c>
      <c r="G40" s="5" t="n">
        <v>3</v>
      </c>
      <c r="H40" s="5" t="n">
        <f aca="false">SUM(C40:G40)</f>
        <v>12</v>
      </c>
    </row>
    <row r="41" customFormat="false" ht="15" hidden="false" customHeight="false" outlineLevel="0" collapsed="false">
      <c r="A41" s="4" t="n">
        <v>37</v>
      </c>
      <c r="B41" s="4" t="s">
        <v>62</v>
      </c>
      <c r="C41" s="5" t="n">
        <v>1597</v>
      </c>
      <c r="D41" s="5" t="n">
        <v>1392</v>
      </c>
      <c r="E41" s="5" t="n">
        <v>969</v>
      </c>
      <c r="F41" s="5" t="n">
        <v>1049</v>
      </c>
      <c r="G41" s="5" t="n">
        <v>1181</v>
      </c>
      <c r="H41" s="5" t="n">
        <f aca="false">SUM(C41:G41)</f>
        <v>6188</v>
      </c>
    </row>
    <row r="42" customFormat="false" ht="15" hidden="false" customHeight="false" outlineLevel="0" collapsed="false">
      <c r="A42" s="10"/>
      <c r="B42" s="11" t="s">
        <v>63</v>
      </c>
      <c r="C42" s="12" t="n">
        <f aca="false">SUM(C5:C41)</f>
        <v>470403</v>
      </c>
      <c r="D42" s="12" t="n">
        <f aca="false">SUM(D5:D41)</f>
        <v>456959</v>
      </c>
      <c r="E42" s="12" t="n">
        <f aca="false">SUM(E5:E41)</f>
        <v>372181</v>
      </c>
      <c r="F42" s="12" t="n">
        <f aca="false">SUM(F5:F41)</f>
        <v>412432</v>
      </c>
      <c r="G42" s="12" t="n">
        <f aca="false">SUM(G5:G41)</f>
        <v>461312</v>
      </c>
      <c r="H42" s="12" t="n">
        <f aca="false">SUM(H5:H41)</f>
        <v>2173287</v>
      </c>
    </row>
    <row r="44" customFormat="false" ht="15" hidden="false" customHeight="false" outlineLevel="0" collapsed="false">
      <c r="A44" s="2" t="s">
        <v>64</v>
      </c>
      <c r="B44" s="2"/>
      <c r="C44" s="2"/>
      <c r="D44" s="2"/>
      <c r="E44" s="2"/>
      <c r="F44" s="2"/>
      <c r="G44" s="2"/>
      <c r="H44" s="2"/>
    </row>
  </sheetData>
  <mergeCells count="3">
    <mergeCell ref="A1:G1"/>
    <mergeCell ref="A2:G2"/>
    <mergeCell ref="A44:H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7" min="3" style="0" width="11"/>
    <col collapsed="false" customWidth="true" hidden="false" outlineLevel="0" max="8" min="8" style="0" width="13"/>
  </cols>
  <sheetData>
    <row r="1" customFormat="false" ht="17.35" hidden="false" customHeight="false" outlineLevel="0" collapsed="false">
      <c r="A1" s="1" t="s">
        <v>65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17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</row>
    <row r="5" customFormat="false" ht="15" hidden="false" customHeight="false" outlineLevel="0" collapsed="false">
      <c r="A5" s="4" t="n">
        <v>1</v>
      </c>
      <c r="B5" s="4" t="s">
        <v>26</v>
      </c>
      <c r="C5" s="5" t="n">
        <v>7556</v>
      </c>
      <c r="D5" s="5" t="n">
        <v>7984</v>
      </c>
      <c r="E5" s="5" t="n">
        <v>7039</v>
      </c>
      <c r="F5" s="5" t="n">
        <v>8186</v>
      </c>
      <c r="G5" s="5" t="n">
        <v>8293</v>
      </c>
      <c r="H5" s="5" t="n">
        <f aca="false">SUM(C5:G5)</f>
        <v>39058</v>
      </c>
    </row>
    <row r="6" customFormat="false" ht="15" hidden="false" customHeight="false" outlineLevel="0" collapsed="false">
      <c r="A6" s="4" t="n">
        <v>2</v>
      </c>
      <c r="B6" s="4" t="s">
        <v>27</v>
      </c>
      <c r="C6" s="5" t="n">
        <v>175</v>
      </c>
      <c r="D6" s="5" t="n">
        <v>127</v>
      </c>
      <c r="E6" s="5" t="n">
        <v>73</v>
      </c>
      <c r="F6" s="5" t="n">
        <v>157</v>
      </c>
      <c r="G6" s="5" t="n">
        <v>148</v>
      </c>
      <c r="H6" s="5" t="n">
        <f aca="false">SUM(C6:G6)</f>
        <v>680</v>
      </c>
    </row>
    <row r="7" customFormat="false" ht="15" hidden="false" customHeight="false" outlineLevel="0" collapsed="false">
      <c r="A7" s="4" t="n">
        <v>3</v>
      </c>
      <c r="B7" s="4" t="s">
        <v>28</v>
      </c>
      <c r="C7" s="5" t="n">
        <v>2966</v>
      </c>
      <c r="D7" s="5" t="n">
        <v>3208</v>
      </c>
      <c r="E7" s="5" t="n">
        <v>2629</v>
      </c>
      <c r="F7" s="5" t="n">
        <v>3036</v>
      </c>
      <c r="G7" s="5" t="n">
        <v>2994</v>
      </c>
      <c r="H7" s="5" t="n">
        <f aca="false">SUM(C7:G7)</f>
        <v>14833</v>
      </c>
    </row>
    <row r="8" customFormat="false" ht="15" hidden="false" customHeight="false" outlineLevel="0" collapsed="false">
      <c r="A8" s="4" t="n">
        <v>4</v>
      </c>
      <c r="B8" s="4" t="s">
        <v>29</v>
      </c>
      <c r="C8" s="5" t="n">
        <v>6729</v>
      </c>
      <c r="D8" s="5" t="n">
        <v>7205</v>
      </c>
      <c r="E8" s="5" t="n">
        <v>6699</v>
      </c>
      <c r="F8" s="5" t="n">
        <v>7660</v>
      </c>
      <c r="G8" s="5" t="n">
        <v>8898</v>
      </c>
      <c r="H8" s="5" t="n">
        <f aca="false">SUM(C8:G8)</f>
        <v>37191</v>
      </c>
    </row>
    <row r="9" customFormat="false" ht="15" hidden="false" customHeight="false" outlineLevel="0" collapsed="false">
      <c r="A9" s="4" t="n">
        <v>5</v>
      </c>
      <c r="B9" s="4" t="s">
        <v>30</v>
      </c>
      <c r="C9" s="5" t="n">
        <v>4592</v>
      </c>
      <c r="D9" s="5" t="n">
        <v>5003</v>
      </c>
      <c r="E9" s="5" t="n">
        <v>4606</v>
      </c>
      <c r="F9" s="5" t="n">
        <v>5371</v>
      </c>
      <c r="G9" s="5" t="n">
        <v>5834</v>
      </c>
      <c r="H9" s="5" t="n">
        <f aca="false">SUM(C9:G9)</f>
        <v>25406</v>
      </c>
    </row>
    <row r="10" customFormat="false" ht="15" hidden="false" customHeight="false" outlineLevel="0" collapsed="false">
      <c r="A10" s="4" t="n">
        <v>6</v>
      </c>
      <c r="B10" s="4" t="s">
        <v>31</v>
      </c>
      <c r="C10" s="5" t="n">
        <v>262</v>
      </c>
      <c r="D10" s="5" t="n">
        <v>297</v>
      </c>
      <c r="E10" s="5" t="n">
        <v>223</v>
      </c>
      <c r="F10" s="5" t="n">
        <v>226</v>
      </c>
      <c r="G10" s="5" t="n">
        <v>271</v>
      </c>
      <c r="H10" s="5" t="n">
        <f aca="false">SUM(C10:G10)</f>
        <v>1279</v>
      </c>
    </row>
    <row r="11" customFormat="false" ht="15" hidden="false" customHeight="false" outlineLevel="0" collapsed="false">
      <c r="A11" s="4" t="n">
        <v>7</v>
      </c>
      <c r="B11" s="4" t="s">
        <v>32</v>
      </c>
      <c r="C11" s="5" t="n">
        <v>7996</v>
      </c>
      <c r="D11" s="5" t="n">
        <v>7390</v>
      </c>
      <c r="E11" s="5" t="n">
        <v>6170</v>
      </c>
      <c r="F11" s="5" t="n">
        <v>7452</v>
      </c>
      <c r="G11" s="5" t="n">
        <v>7618</v>
      </c>
      <c r="H11" s="5" t="n">
        <f aca="false">SUM(C11:G11)</f>
        <v>36626</v>
      </c>
    </row>
    <row r="12" customFormat="false" ht="15" hidden="false" customHeight="false" outlineLevel="0" collapsed="false">
      <c r="A12" s="4" t="n">
        <v>8</v>
      </c>
      <c r="B12" s="4" t="s">
        <v>33</v>
      </c>
      <c r="C12" s="5" t="n">
        <v>5118</v>
      </c>
      <c r="D12" s="5" t="n">
        <v>5057</v>
      </c>
      <c r="E12" s="5" t="n">
        <v>4507</v>
      </c>
      <c r="F12" s="5" t="n">
        <v>4706</v>
      </c>
      <c r="G12" s="5" t="n">
        <v>4915</v>
      </c>
      <c r="H12" s="5" t="n">
        <f aca="false">SUM(C12:G12)</f>
        <v>24303</v>
      </c>
    </row>
    <row r="13" customFormat="false" ht="15" hidden="false" customHeight="false" outlineLevel="0" collapsed="false">
      <c r="A13" s="4" t="n">
        <v>9</v>
      </c>
      <c r="B13" s="4" t="s">
        <v>34</v>
      </c>
      <c r="C13" s="5" t="n">
        <v>1208</v>
      </c>
      <c r="D13" s="5" t="n">
        <v>1146</v>
      </c>
      <c r="E13" s="5" t="n">
        <v>893</v>
      </c>
      <c r="F13" s="5" t="n">
        <v>1052</v>
      </c>
      <c r="G13" s="5" t="n">
        <v>1032</v>
      </c>
      <c r="H13" s="5" t="n">
        <f aca="false">SUM(C13:G13)</f>
        <v>5331</v>
      </c>
    </row>
    <row r="14" customFormat="false" ht="15" hidden="false" customHeight="false" outlineLevel="0" collapsed="false">
      <c r="A14" s="4" t="n">
        <v>10</v>
      </c>
      <c r="B14" s="4" t="s">
        <v>35</v>
      </c>
      <c r="C14" s="5" t="n">
        <v>3542</v>
      </c>
      <c r="D14" s="5" t="n">
        <v>3801</v>
      </c>
      <c r="E14" s="5" t="n">
        <v>3044</v>
      </c>
      <c r="F14" s="5" t="n">
        <v>3513</v>
      </c>
      <c r="G14" s="5" t="n">
        <v>3898</v>
      </c>
      <c r="H14" s="5" t="n">
        <f aca="false">SUM(C14:G14)</f>
        <v>17798</v>
      </c>
    </row>
    <row r="15" customFormat="false" ht="15" hidden="false" customHeight="false" outlineLevel="0" collapsed="false">
      <c r="A15" s="4" t="n">
        <v>11</v>
      </c>
      <c r="B15" s="4" t="s">
        <v>36</v>
      </c>
      <c r="C15" s="5" t="n">
        <v>10990</v>
      </c>
      <c r="D15" s="5" t="n">
        <v>10958</v>
      </c>
      <c r="E15" s="5" t="n">
        <v>9760</v>
      </c>
      <c r="F15" s="5" t="n">
        <v>10038</v>
      </c>
      <c r="G15" s="5" t="n">
        <v>11702</v>
      </c>
      <c r="H15" s="5" t="n">
        <f aca="false">SUM(C15:G15)</f>
        <v>53448</v>
      </c>
    </row>
    <row r="16" customFormat="false" ht="15" hidden="false" customHeight="false" outlineLevel="0" collapsed="false">
      <c r="A16" s="4" t="n">
        <v>12</v>
      </c>
      <c r="B16" s="4" t="s">
        <v>37</v>
      </c>
      <c r="C16" s="5" t="n">
        <v>4303</v>
      </c>
      <c r="D16" s="5" t="n">
        <v>4440</v>
      </c>
      <c r="E16" s="5" t="n">
        <v>2979</v>
      </c>
      <c r="F16" s="5" t="n">
        <v>3429</v>
      </c>
      <c r="G16" s="5" t="n">
        <v>4317</v>
      </c>
      <c r="H16" s="5" t="n">
        <f aca="false">SUM(C16:G16)</f>
        <v>19468</v>
      </c>
    </row>
    <row r="17" customFormat="false" ht="15" hidden="false" customHeight="false" outlineLevel="0" collapsed="false">
      <c r="A17" s="4" t="n">
        <v>13</v>
      </c>
      <c r="B17" s="4" t="s">
        <v>38</v>
      </c>
      <c r="C17" s="5" t="n">
        <v>10706</v>
      </c>
      <c r="D17" s="5" t="n">
        <v>11249</v>
      </c>
      <c r="E17" s="5" t="n">
        <v>11141</v>
      </c>
      <c r="F17" s="5" t="n">
        <v>12057</v>
      </c>
      <c r="G17" s="5" t="n">
        <v>13427</v>
      </c>
      <c r="H17" s="5" t="n">
        <f aca="false">SUM(C17:G17)</f>
        <v>58580</v>
      </c>
    </row>
    <row r="18" customFormat="false" ht="15" hidden="false" customHeight="false" outlineLevel="0" collapsed="false">
      <c r="A18" s="4" t="n">
        <v>14</v>
      </c>
      <c r="B18" s="4" t="s">
        <v>39</v>
      </c>
      <c r="C18" s="5" t="n">
        <v>13261</v>
      </c>
      <c r="D18" s="5" t="n">
        <v>12788</v>
      </c>
      <c r="E18" s="5" t="n">
        <v>11569</v>
      </c>
      <c r="F18" s="5" t="n">
        <v>13528</v>
      </c>
      <c r="G18" s="5" t="n">
        <v>15224</v>
      </c>
      <c r="H18" s="5" t="n">
        <f aca="false">SUM(C18:G18)</f>
        <v>66370</v>
      </c>
    </row>
    <row r="19" customFormat="false" ht="15" hidden="false" customHeight="false" outlineLevel="0" collapsed="false">
      <c r="A19" s="4" t="n">
        <v>15</v>
      </c>
      <c r="B19" s="4" t="s">
        <v>40</v>
      </c>
      <c r="C19" s="5" t="n">
        <v>134</v>
      </c>
      <c r="D19" s="5" t="n">
        <v>156</v>
      </c>
      <c r="E19" s="5" t="n">
        <v>127</v>
      </c>
      <c r="F19" s="5" t="n">
        <v>110</v>
      </c>
      <c r="G19" s="5" t="n">
        <v>127</v>
      </c>
      <c r="H19" s="5" t="n">
        <f aca="false">SUM(C19:G19)</f>
        <v>654</v>
      </c>
    </row>
    <row r="20" customFormat="false" ht="15" hidden="false" customHeight="false" outlineLevel="0" collapsed="false">
      <c r="A20" s="4" t="n">
        <v>16</v>
      </c>
      <c r="B20" s="4" t="s">
        <v>41</v>
      </c>
      <c r="C20" s="5" t="n">
        <v>182</v>
      </c>
      <c r="D20" s="5" t="n">
        <v>179</v>
      </c>
      <c r="E20" s="5" t="n">
        <v>144</v>
      </c>
      <c r="F20" s="5" t="n">
        <v>187</v>
      </c>
      <c r="G20" s="5" t="n">
        <v>162</v>
      </c>
      <c r="H20" s="5" t="n">
        <f aca="false">SUM(C20:G20)</f>
        <v>854</v>
      </c>
    </row>
    <row r="21" customFormat="false" ht="15" hidden="false" customHeight="false" outlineLevel="0" collapsed="false">
      <c r="A21" s="4" t="n">
        <v>17</v>
      </c>
      <c r="B21" s="4" t="s">
        <v>42</v>
      </c>
      <c r="C21" s="5" t="n">
        <v>45</v>
      </c>
      <c r="D21" s="5" t="n">
        <v>48</v>
      </c>
      <c r="E21" s="5" t="n">
        <v>42</v>
      </c>
      <c r="F21" s="5" t="n">
        <v>56</v>
      </c>
      <c r="G21" s="5" t="n">
        <v>113</v>
      </c>
      <c r="H21" s="5" t="n">
        <f aca="false">SUM(C21:G21)</f>
        <v>304</v>
      </c>
    </row>
    <row r="22" customFormat="false" ht="15" hidden="false" customHeight="false" outlineLevel="0" collapsed="false">
      <c r="A22" s="4" t="n">
        <v>18</v>
      </c>
      <c r="B22" s="4" t="s">
        <v>43</v>
      </c>
      <c r="C22" s="5" t="n">
        <v>39</v>
      </c>
      <c r="D22" s="5" t="n">
        <v>26</v>
      </c>
      <c r="E22" s="5" t="n">
        <v>53</v>
      </c>
      <c r="F22" s="5" t="n">
        <v>55</v>
      </c>
      <c r="G22" s="5" t="n">
        <v>73</v>
      </c>
      <c r="H22" s="5" t="n">
        <f aca="false">SUM(C22:G22)</f>
        <v>246</v>
      </c>
    </row>
    <row r="23" customFormat="false" ht="15" hidden="false" customHeight="false" outlineLevel="0" collapsed="false">
      <c r="A23" s="4" t="n">
        <v>19</v>
      </c>
      <c r="B23" s="4" t="s">
        <v>44</v>
      </c>
      <c r="C23" s="5" t="n">
        <v>5315</v>
      </c>
      <c r="D23" s="5" t="n">
        <v>5333</v>
      </c>
      <c r="E23" s="5" t="n">
        <v>4738</v>
      </c>
      <c r="F23" s="5" t="n">
        <v>5081</v>
      </c>
      <c r="G23" s="5" t="n">
        <v>5467</v>
      </c>
      <c r="H23" s="5" t="n">
        <f aca="false">SUM(C23:G23)</f>
        <v>25934</v>
      </c>
    </row>
    <row r="24" customFormat="false" ht="15" hidden="false" customHeight="false" outlineLevel="0" collapsed="false">
      <c r="A24" s="4" t="n">
        <v>20</v>
      </c>
      <c r="B24" s="4" t="s">
        <v>45</v>
      </c>
      <c r="C24" s="5" t="n">
        <v>4740</v>
      </c>
      <c r="D24" s="5" t="n">
        <v>4525</v>
      </c>
      <c r="E24" s="5" t="n">
        <v>3898</v>
      </c>
      <c r="F24" s="5" t="n">
        <v>4589</v>
      </c>
      <c r="G24" s="5" t="n">
        <v>4756</v>
      </c>
      <c r="H24" s="5" t="n">
        <f aca="false">SUM(C24:G24)</f>
        <v>22508</v>
      </c>
    </row>
    <row r="25" customFormat="false" ht="15" hidden="false" customHeight="false" outlineLevel="0" collapsed="false">
      <c r="A25" s="4" t="n">
        <v>21</v>
      </c>
      <c r="B25" s="4" t="s">
        <v>46</v>
      </c>
      <c r="C25" s="5" t="n">
        <v>10320</v>
      </c>
      <c r="D25" s="5" t="n">
        <v>10563</v>
      </c>
      <c r="E25" s="5" t="n">
        <v>9250</v>
      </c>
      <c r="F25" s="5" t="n">
        <v>10043</v>
      </c>
      <c r="G25" s="5" t="n">
        <v>11104</v>
      </c>
      <c r="H25" s="5" t="n">
        <f aca="false">SUM(C25:G25)</f>
        <v>51280</v>
      </c>
    </row>
    <row r="26" customFormat="false" ht="15" hidden="false" customHeight="false" outlineLevel="0" collapsed="false">
      <c r="A26" s="4" t="n">
        <v>22</v>
      </c>
      <c r="B26" s="4" t="s">
        <v>47</v>
      </c>
      <c r="C26" s="5" t="n">
        <v>85</v>
      </c>
      <c r="D26" s="5" t="n">
        <v>73</v>
      </c>
      <c r="E26" s="5" t="n">
        <v>47</v>
      </c>
      <c r="F26" s="5" t="n">
        <v>56</v>
      </c>
      <c r="G26" s="5" t="n">
        <v>92</v>
      </c>
      <c r="H26" s="5" t="n">
        <f aca="false">SUM(C26:G26)</f>
        <v>353</v>
      </c>
    </row>
    <row r="27" customFormat="false" ht="15" hidden="false" customHeight="false" outlineLevel="0" collapsed="false">
      <c r="A27" s="4" t="n">
        <v>23</v>
      </c>
      <c r="B27" s="4" t="s">
        <v>48</v>
      </c>
      <c r="C27" s="5" t="n">
        <v>18392</v>
      </c>
      <c r="D27" s="5" t="n">
        <v>18129</v>
      </c>
      <c r="E27" s="5" t="n">
        <v>14527</v>
      </c>
      <c r="F27" s="5" t="n">
        <v>15384</v>
      </c>
      <c r="G27" s="5" t="n">
        <v>17884</v>
      </c>
      <c r="H27" s="5" t="n">
        <f aca="false">SUM(C27:G27)</f>
        <v>84316</v>
      </c>
    </row>
    <row r="28" customFormat="false" ht="15" hidden="false" customHeight="false" outlineLevel="0" collapsed="false">
      <c r="A28" s="4" t="n">
        <v>24</v>
      </c>
      <c r="B28" s="4" t="s">
        <v>49</v>
      </c>
      <c r="C28" s="5" t="n">
        <v>6603</v>
      </c>
      <c r="D28" s="5" t="n">
        <v>6964</v>
      </c>
      <c r="E28" s="5" t="n">
        <v>6882</v>
      </c>
      <c r="F28" s="5" t="n">
        <v>7557</v>
      </c>
      <c r="G28" s="5" t="n">
        <v>7559</v>
      </c>
      <c r="H28" s="5" t="n">
        <f aca="false">SUM(C28:G28)</f>
        <v>35565</v>
      </c>
    </row>
    <row r="29" customFormat="false" ht="15" hidden="false" customHeight="false" outlineLevel="0" collapsed="false">
      <c r="A29" s="4" t="n">
        <v>25</v>
      </c>
      <c r="B29" s="4" t="s">
        <v>50</v>
      </c>
      <c r="C29" s="5" t="n">
        <v>213</v>
      </c>
      <c r="D29" s="5" t="n">
        <v>239</v>
      </c>
      <c r="E29" s="5" t="n">
        <v>192</v>
      </c>
      <c r="F29" s="5" t="n">
        <v>194</v>
      </c>
      <c r="G29" s="5" t="n">
        <v>241</v>
      </c>
      <c r="H29" s="5" t="n">
        <f aca="false">SUM(C29:G29)</f>
        <v>1079</v>
      </c>
    </row>
    <row r="30" customFormat="false" ht="15" hidden="false" customHeight="false" outlineLevel="0" collapsed="false">
      <c r="A30" s="4" t="n">
        <v>26</v>
      </c>
      <c r="B30" s="4" t="s">
        <v>51</v>
      </c>
      <c r="C30" s="5" t="n">
        <v>1047</v>
      </c>
      <c r="D30" s="5" t="n">
        <v>867</v>
      </c>
      <c r="E30" s="5" t="n">
        <v>674</v>
      </c>
      <c r="F30" s="5" t="n">
        <v>820</v>
      </c>
      <c r="G30" s="5" t="n">
        <v>1042</v>
      </c>
      <c r="H30" s="5" t="n">
        <f aca="false">SUM(C30:G30)</f>
        <v>4450</v>
      </c>
    </row>
    <row r="31" customFormat="false" ht="15" hidden="false" customHeight="false" outlineLevel="0" collapsed="false">
      <c r="A31" s="4" t="n">
        <v>27</v>
      </c>
      <c r="B31" s="4" t="s">
        <v>52</v>
      </c>
      <c r="C31" s="5" t="n">
        <v>22256</v>
      </c>
      <c r="D31" s="5" t="n">
        <v>22655</v>
      </c>
      <c r="E31" s="5" t="n">
        <v>19149</v>
      </c>
      <c r="F31" s="5" t="n">
        <v>21227</v>
      </c>
      <c r="G31" s="5" t="n">
        <v>22595</v>
      </c>
      <c r="H31" s="5" t="n">
        <f aca="false">SUM(C31:G31)</f>
        <v>107882</v>
      </c>
    </row>
    <row r="32" customFormat="false" ht="15" hidden="false" customHeight="false" outlineLevel="0" collapsed="false">
      <c r="A32" s="4" t="n">
        <v>28</v>
      </c>
      <c r="B32" s="4" t="s">
        <v>53</v>
      </c>
      <c r="C32" s="5" t="n">
        <v>5711</v>
      </c>
      <c r="D32" s="5" t="n">
        <v>5767</v>
      </c>
      <c r="E32" s="5" t="n">
        <v>5128</v>
      </c>
      <c r="F32" s="5" t="n">
        <v>5800</v>
      </c>
      <c r="G32" s="5" t="n">
        <v>6002</v>
      </c>
      <c r="H32" s="5" t="n">
        <f aca="false">SUM(C32:G32)</f>
        <v>28408</v>
      </c>
    </row>
    <row r="33" customFormat="false" ht="15" hidden="false" customHeight="false" outlineLevel="0" collapsed="false">
      <c r="A33" s="4" t="n">
        <v>29</v>
      </c>
      <c r="B33" s="4" t="s">
        <v>54</v>
      </c>
      <c r="C33" s="5" t="n">
        <v>19</v>
      </c>
      <c r="D33" s="5" t="n">
        <v>20</v>
      </c>
      <c r="E33" s="5" t="n">
        <v>14</v>
      </c>
      <c r="F33" s="5" t="n">
        <v>20</v>
      </c>
      <c r="G33" s="5" t="n">
        <v>19</v>
      </c>
      <c r="H33" s="5" t="n">
        <f aca="false">SUM(C33:G33)</f>
        <v>92</v>
      </c>
    </row>
    <row r="34" customFormat="false" ht="15" hidden="false" customHeight="false" outlineLevel="0" collapsed="false">
      <c r="A34" s="4" t="n">
        <v>30</v>
      </c>
      <c r="B34" s="4" t="s">
        <v>55</v>
      </c>
      <c r="C34" s="5" t="n">
        <v>98</v>
      </c>
      <c r="D34" s="5" t="n">
        <v>104</v>
      </c>
      <c r="E34" s="5" t="n">
        <v>53</v>
      </c>
      <c r="F34" s="5" t="n">
        <v>96</v>
      </c>
      <c r="G34" s="5" t="n">
        <v>83</v>
      </c>
      <c r="H34" s="5" t="n">
        <f aca="false">SUM(C34:G34)</f>
        <v>434</v>
      </c>
    </row>
    <row r="35" customFormat="false" ht="15" hidden="false" customHeight="false" outlineLevel="0" collapsed="false">
      <c r="A35" s="4" t="n">
        <v>31</v>
      </c>
      <c r="B35" s="4" t="s">
        <v>56</v>
      </c>
      <c r="C35" s="5" t="n">
        <v>54</v>
      </c>
      <c r="D35" s="5" t="n">
        <v>49</v>
      </c>
      <c r="E35" s="5" t="n">
        <v>64</v>
      </c>
      <c r="F35" s="5" t="n">
        <v>76</v>
      </c>
      <c r="G35" s="5" t="n">
        <v>90</v>
      </c>
      <c r="H35" s="5" t="n">
        <f aca="false">SUM(C35:G35)</f>
        <v>333</v>
      </c>
    </row>
    <row r="36" customFormat="false" ht="15" hidden="false" customHeight="false" outlineLevel="0" collapsed="false">
      <c r="A36" s="4" t="n">
        <v>32</v>
      </c>
      <c r="B36" s="4" t="s">
        <v>57</v>
      </c>
      <c r="C36" s="5" t="n">
        <v>35</v>
      </c>
      <c r="D36" s="5" t="n">
        <v>28</v>
      </c>
      <c r="E36" s="5"/>
      <c r="F36" s="5"/>
      <c r="G36" s="5"/>
      <c r="H36" s="5" t="n">
        <f aca="false">SUM(C36:G36)</f>
        <v>63</v>
      </c>
    </row>
    <row r="37" customFormat="false" ht="15" hidden="false" customHeight="false" outlineLevel="0" collapsed="false">
      <c r="A37" s="4" t="n">
        <v>33</v>
      </c>
      <c r="B37" s="4" t="s">
        <v>58</v>
      </c>
      <c r="C37" s="5" t="n">
        <v>1690</v>
      </c>
      <c r="D37" s="5" t="n">
        <v>1463</v>
      </c>
      <c r="E37" s="5" t="n">
        <v>1196</v>
      </c>
      <c r="F37" s="5" t="n">
        <v>1239</v>
      </c>
      <c r="G37" s="5" t="n">
        <v>1461</v>
      </c>
      <c r="H37" s="5" t="n">
        <f aca="false">SUM(C37:G37)</f>
        <v>7049</v>
      </c>
    </row>
    <row r="38" customFormat="false" ht="15" hidden="false" customHeight="false" outlineLevel="0" collapsed="false">
      <c r="A38" s="4" t="n">
        <v>34</v>
      </c>
      <c r="B38" s="4" t="s">
        <v>59</v>
      </c>
      <c r="C38" s="5" t="n">
        <v>984</v>
      </c>
      <c r="D38" s="5" t="n">
        <v>996</v>
      </c>
      <c r="E38" s="5" t="n">
        <v>728</v>
      </c>
      <c r="F38" s="5" t="n">
        <v>774</v>
      </c>
      <c r="G38" s="5" t="n">
        <v>805</v>
      </c>
      <c r="H38" s="5" t="n">
        <f aca="false">SUM(C38:G38)</f>
        <v>4287</v>
      </c>
    </row>
    <row r="39" customFormat="false" ht="15" hidden="false" customHeight="false" outlineLevel="0" collapsed="false">
      <c r="A39" s="4" t="n">
        <v>35</v>
      </c>
      <c r="B39" s="4" t="s">
        <v>60</v>
      </c>
      <c r="C39" s="5"/>
      <c r="D39" s="5"/>
      <c r="E39" s="5"/>
      <c r="F39" s="5" t="n">
        <v>56</v>
      </c>
      <c r="G39" s="5" t="n">
        <v>62</v>
      </c>
      <c r="H39" s="5" t="n">
        <f aca="false">SUM(C39:G39)</f>
        <v>118</v>
      </c>
    </row>
    <row r="40" customFormat="false" ht="15" hidden="false" customHeight="false" outlineLevel="0" collapsed="false">
      <c r="A40" s="4" t="n">
        <v>36</v>
      </c>
      <c r="B40" s="4" t="s">
        <v>61</v>
      </c>
      <c r="C40" s="5" t="n">
        <v>1</v>
      </c>
      <c r="D40" s="5" t="n">
        <v>0</v>
      </c>
      <c r="E40" s="5" t="n">
        <v>0</v>
      </c>
      <c r="F40" s="5" t="n">
        <v>1</v>
      </c>
      <c r="G40" s="5" t="n">
        <v>2</v>
      </c>
      <c r="H40" s="5" t="n">
        <f aca="false">SUM(C40:G40)</f>
        <v>4</v>
      </c>
    </row>
    <row r="41" customFormat="false" ht="15" hidden="false" customHeight="false" outlineLevel="0" collapsed="false">
      <c r="A41" s="4" t="n">
        <v>37</v>
      </c>
      <c r="B41" s="4" t="s">
        <v>62</v>
      </c>
      <c r="C41" s="5" t="n">
        <v>226</v>
      </c>
      <c r="D41" s="5" t="n">
        <v>147</v>
      </c>
      <c r="E41" s="5" t="n">
        <v>145</v>
      </c>
      <c r="F41" s="5" t="n">
        <v>140</v>
      </c>
      <c r="G41" s="5" t="n">
        <v>181</v>
      </c>
      <c r="H41" s="5" t="n">
        <f aca="false">SUM(C41:G41)</f>
        <v>839</v>
      </c>
    </row>
    <row r="42" customFormat="false" ht="15" hidden="false" customHeight="false" outlineLevel="0" collapsed="false">
      <c r="A42" s="10"/>
      <c r="B42" s="11" t="s">
        <v>63</v>
      </c>
      <c r="C42" s="12" t="n">
        <f aca="false">SUM(C5:C41)</f>
        <v>157593</v>
      </c>
      <c r="D42" s="12" t="n">
        <f aca="false">SUM(D5:D41)</f>
        <v>158984</v>
      </c>
      <c r="E42" s="12" t="n">
        <f aca="false">SUM(E5:E41)</f>
        <v>138383</v>
      </c>
      <c r="F42" s="12" t="n">
        <f aca="false">SUM(F5:F41)</f>
        <v>153972</v>
      </c>
      <c r="G42" s="12" t="n">
        <f aca="false">SUM(G5:G41)</f>
        <v>168491</v>
      </c>
      <c r="H42" s="12" t="n">
        <f aca="false">SUM(H5:H41)</f>
        <v>777423</v>
      </c>
    </row>
    <row r="44" customFormat="false" ht="15" hidden="false" customHeight="false" outlineLevel="0" collapsed="false">
      <c r="A44" s="2" t="s">
        <v>64</v>
      </c>
      <c r="B44" s="2"/>
      <c r="C44" s="2"/>
      <c r="D44" s="2"/>
      <c r="E44" s="2"/>
      <c r="F44" s="2"/>
      <c r="G44" s="2"/>
      <c r="H44" s="2"/>
    </row>
  </sheetData>
  <mergeCells count="3">
    <mergeCell ref="A1:G1"/>
    <mergeCell ref="A2:G2"/>
    <mergeCell ref="A44:H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7" min="3" style="0" width="11"/>
    <col collapsed="false" customWidth="true" hidden="false" outlineLevel="0" max="8" min="8" style="0" width="13"/>
  </cols>
  <sheetData>
    <row r="1" customFormat="false" ht="17.35" hidden="false" customHeight="false" outlineLevel="0" collapsed="false">
      <c r="A1" s="1" t="s">
        <v>66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17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</row>
    <row r="5" customFormat="false" ht="15" hidden="false" customHeight="false" outlineLevel="0" collapsed="false">
      <c r="A5" s="4" t="n">
        <v>1</v>
      </c>
      <c r="B5" s="4" t="s">
        <v>26</v>
      </c>
      <c r="C5" s="5" t="n">
        <v>23456</v>
      </c>
      <c r="D5" s="5" t="n">
        <v>24619</v>
      </c>
      <c r="E5" s="5" t="n">
        <v>19675</v>
      </c>
      <c r="F5" s="5" t="n">
        <v>21040</v>
      </c>
      <c r="G5" s="5" t="n">
        <v>21340</v>
      </c>
      <c r="H5" s="5" t="n">
        <f aca="false">SUM(C5:G5)</f>
        <v>110130</v>
      </c>
    </row>
    <row r="6" customFormat="false" ht="15" hidden="false" customHeight="false" outlineLevel="0" collapsed="false">
      <c r="A6" s="4" t="n">
        <v>2</v>
      </c>
      <c r="B6" s="4" t="s">
        <v>27</v>
      </c>
      <c r="C6" s="5" t="n">
        <v>323</v>
      </c>
      <c r="D6" s="5" t="n">
        <v>309</v>
      </c>
      <c r="E6" s="5" t="n">
        <v>185</v>
      </c>
      <c r="F6" s="5" t="n">
        <v>347</v>
      </c>
      <c r="G6" s="5" t="n">
        <v>186</v>
      </c>
      <c r="H6" s="5" t="n">
        <f aca="false">SUM(C6:G6)</f>
        <v>1350</v>
      </c>
    </row>
    <row r="7" customFormat="false" ht="15" hidden="false" customHeight="false" outlineLevel="0" collapsed="false">
      <c r="A7" s="4" t="n">
        <v>3</v>
      </c>
      <c r="B7" s="4" t="s">
        <v>28</v>
      </c>
      <c r="C7" s="5" t="n">
        <v>7375</v>
      </c>
      <c r="D7" s="5" t="n">
        <v>7473</v>
      </c>
      <c r="E7" s="5" t="n">
        <v>5269</v>
      </c>
      <c r="F7" s="5" t="n">
        <v>5763</v>
      </c>
      <c r="G7" s="5" t="n">
        <v>5637</v>
      </c>
      <c r="H7" s="5" t="n">
        <f aca="false">SUM(C7:G7)</f>
        <v>31517</v>
      </c>
    </row>
    <row r="8" customFormat="false" ht="15" hidden="false" customHeight="false" outlineLevel="0" collapsed="false">
      <c r="A8" s="4" t="n">
        <v>4</v>
      </c>
      <c r="B8" s="4" t="s">
        <v>29</v>
      </c>
      <c r="C8" s="5" t="n">
        <v>6679</v>
      </c>
      <c r="D8" s="5" t="n">
        <v>7206</v>
      </c>
      <c r="E8" s="5" t="n">
        <v>7016</v>
      </c>
      <c r="F8" s="5" t="n">
        <v>7946</v>
      </c>
      <c r="G8" s="5" t="n">
        <v>7068</v>
      </c>
      <c r="H8" s="5" t="n">
        <f aca="false">SUM(C8:G8)</f>
        <v>35915</v>
      </c>
    </row>
    <row r="9" customFormat="false" ht="15" hidden="false" customHeight="false" outlineLevel="0" collapsed="false">
      <c r="A9" s="4" t="n">
        <v>5</v>
      </c>
      <c r="B9" s="4" t="s">
        <v>30</v>
      </c>
      <c r="C9" s="5" t="n">
        <v>12715</v>
      </c>
      <c r="D9" s="5" t="n">
        <v>13090</v>
      </c>
      <c r="E9" s="5" t="n">
        <v>10505</v>
      </c>
      <c r="F9" s="5" t="n">
        <v>10683</v>
      </c>
      <c r="G9" s="5" t="n">
        <v>11695</v>
      </c>
      <c r="H9" s="5" t="n">
        <f aca="false">SUM(C9:G9)</f>
        <v>58688</v>
      </c>
    </row>
    <row r="10" customFormat="false" ht="15" hidden="false" customHeight="false" outlineLevel="0" collapsed="false">
      <c r="A10" s="4" t="n">
        <v>6</v>
      </c>
      <c r="B10" s="4" t="s">
        <v>31</v>
      </c>
      <c r="C10" s="5" t="n">
        <v>1549</v>
      </c>
      <c r="D10" s="5" t="n">
        <v>1448</v>
      </c>
      <c r="E10" s="5" t="n">
        <v>880</v>
      </c>
      <c r="F10" s="5" t="n">
        <v>843</v>
      </c>
      <c r="G10" s="5" t="n">
        <v>1091</v>
      </c>
      <c r="H10" s="5" t="n">
        <f aca="false">SUM(C10:G10)</f>
        <v>5811</v>
      </c>
    </row>
    <row r="11" customFormat="false" ht="15" hidden="false" customHeight="false" outlineLevel="0" collapsed="false">
      <c r="A11" s="4" t="n">
        <v>7</v>
      </c>
      <c r="B11" s="4" t="s">
        <v>32</v>
      </c>
      <c r="C11" s="5" t="n">
        <v>17467</v>
      </c>
      <c r="D11" s="5" t="n">
        <v>16258</v>
      </c>
      <c r="E11" s="5" t="n">
        <v>12002</v>
      </c>
      <c r="F11" s="5" t="n">
        <v>13690</v>
      </c>
      <c r="G11" s="5" t="n">
        <v>15089</v>
      </c>
      <c r="H11" s="5" t="n">
        <f aca="false">SUM(C11:G11)</f>
        <v>74506</v>
      </c>
    </row>
    <row r="12" customFormat="false" ht="15" hidden="false" customHeight="false" outlineLevel="0" collapsed="false">
      <c r="A12" s="4" t="n">
        <v>8</v>
      </c>
      <c r="B12" s="4" t="s">
        <v>33</v>
      </c>
      <c r="C12" s="5" t="n">
        <v>10020</v>
      </c>
      <c r="D12" s="5" t="n">
        <v>9362</v>
      </c>
      <c r="E12" s="5" t="n">
        <v>7659</v>
      </c>
      <c r="F12" s="5" t="n">
        <v>8121</v>
      </c>
      <c r="G12" s="5" t="n">
        <v>8519</v>
      </c>
      <c r="H12" s="5" t="n">
        <f aca="false">SUM(C12:G12)</f>
        <v>43681</v>
      </c>
    </row>
    <row r="13" customFormat="false" ht="15" hidden="false" customHeight="false" outlineLevel="0" collapsed="false">
      <c r="A13" s="4" t="n">
        <v>9</v>
      </c>
      <c r="B13" s="4" t="s">
        <v>34</v>
      </c>
      <c r="C13" s="5" t="n">
        <v>5551</v>
      </c>
      <c r="D13" s="5" t="n">
        <v>4904</v>
      </c>
      <c r="E13" s="5" t="n">
        <v>3223</v>
      </c>
      <c r="F13" s="5" t="n">
        <v>3454</v>
      </c>
      <c r="G13" s="5" t="n">
        <v>4063</v>
      </c>
      <c r="H13" s="5" t="n">
        <f aca="false">SUM(C13:G13)</f>
        <v>21195</v>
      </c>
    </row>
    <row r="14" customFormat="false" ht="15" hidden="false" customHeight="false" outlineLevel="0" collapsed="false">
      <c r="A14" s="4" t="n">
        <v>10</v>
      </c>
      <c r="B14" s="4" t="s">
        <v>35</v>
      </c>
      <c r="C14" s="5" t="n">
        <v>3975</v>
      </c>
      <c r="D14" s="5" t="n">
        <v>3818</v>
      </c>
      <c r="E14" s="5" t="n">
        <v>3295</v>
      </c>
      <c r="F14" s="5" t="n">
        <v>3227</v>
      </c>
      <c r="G14" s="5" t="n">
        <v>3747</v>
      </c>
      <c r="H14" s="5" t="n">
        <f aca="false">SUM(C14:G14)</f>
        <v>18062</v>
      </c>
    </row>
    <row r="15" customFormat="false" ht="15" hidden="false" customHeight="false" outlineLevel="0" collapsed="false">
      <c r="A15" s="4" t="n">
        <v>11</v>
      </c>
      <c r="B15" s="4" t="s">
        <v>36</v>
      </c>
      <c r="C15" s="5" t="n">
        <v>51562</v>
      </c>
      <c r="D15" s="5" t="n">
        <v>50447</v>
      </c>
      <c r="E15" s="5" t="n">
        <v>39492</v>
      </c>
      <c r="F15" s="5" t="n">
        <v>40754</v>
      </c>
      <c r="G15" s="5" t="n">
        <v>48154</v>
      </c>
      <c r="H15" s="5" t="n">
        <f aca="false">SUM(C15:G15)</f>
        <v>230409</v>
      </c>
    </row>
    <row r="16" customFormat="false" ht="15" hidden="false" customHeight="false" outlineLevel="0" collapsed="false">
      <c r="A16" s="4" t="n">
        <v>12</v>
      </c>
      <c r="B16" s="4" t="s">
        <v>37</v>
      </c>
      <c r="C16" s="5" t="n">
        <v>45458</v>
      </c>
      <c r="D16" s="5" t="n">
        <v>46055</v>
      </c>
      <c r="E16" s="5" t="n">
        <v>30510</v>
      </c>
      <c r="F16" s="5" t="n">
        <v>36775</v>
      </c>
      <c r="G16" s="5" t="n">
        <v>49307</v>
      </c>
      <c r="H16" s="5" t="n">
        <f aca="false">SUM(C16:G16)</f>
        <v>208105</v>
      </c>
    </row>
    <row r="17" customFormat="false" ht="15" hidden="false" customHeight="false" outlineLevel="0" collapsed="false">
      <c r="A17" s="4" t="n">
        <v>13</v>
      </c>
      <c r="B17" s="4" t="s">
        <v>38</v>
      </c>
      <c r="C17" s="5" t="n">
        <v>54662</v>
      </c>
      <c r="D17" s="5" t="n">
        <v>52816</v>
      </c>
      <c r="E17" s="5" t="n">
        <v>46456</v>
      </c>
      <c r="F17" s="5" t="n">
        <v>48956</v>
      </c>
      <c r="G17" s="5" t="n">
        <v>55168</v>
      </c>
      <c r="H17" s="5" t="n">
        <f aca="false">SUM(C17:G17)</f>
        <v>258058</v>
      </c>
    </row>
    <row r="18" customFormat="false" ht="15" hidden="false" customHeight="false" outlineLevel="0" collapsed="false">
      <c r="A18" s="4" t="n">
        <v>14</v>
      </c>
      <c r="B18" s="4" t="s">
        <v>39</v>
      </c>
      <c r="C18" s="5" t="n">
        <v>31365</v>
      </c>
      <c r="D18" s="5" t="n">
        <v>28628</v>
      </c>
      <c r="E18" s="5" t="n">
        <v>19914</v>
      </c>
      <c r="F18" s="5" t="n">
        <v>23071</v>
      </c>
      <c r="G18" s="5" t="n">
        <v>27239</v>
      </c>
      <c r="H18" s="5" t="n">
        <f aca="false">SUM(C18:G18)</f>
        <v>130217</v>
      </c>
    </row>
    <row r="19" customFormat="false" ht="15" hidden="false" customHeight="false" outlineLevel="0" collapsed="false">
      <c r="A19" s="4" t="n">
        <v>15</v>
      </c>
      <c r="B19" s="4" t="s">
        <v>40</v>
      </c>
      <c r="C19" s="5" t="n">
        <v>1042</v>
      </c>
      <c r="D19" s="5" t="n">
        <v>1055</v>
      </c>
      <c r="E19" s="5" t="n">
        <v>663</v>
      </c>
      <c r="F19" s="5" t="n">
        <v>504</v>
      </c>
      <c r="G19" s="5" t="n">
        <v>817</v>
      </c>
      <c r="H19" s="5" t="n">
        <f aca="false">SUM(C19:G19)</f>
        <v>4081</v>
      </c>
    </row>
    <row r="20" customFormat="false" ht="15" hidden="false" customHeight="false" outlineLevel="0" collapsed="false">
      <c r="A20" s="4" t="n">
        <v>16</v>
      </c>
      <c r="B20" s="4" t="s">
        <v>41</v>
      </c>
      <c r="C20" s="5" t="n">
        <v>205</v>
      </c>
      <c r="D20" s="5" t="n">
        <v>222</v>
      </c>
      <c r="E20" s="5" t="n">
        <v>220</v>
      </c>
      <c r="F20" s="5" t="n">
        <v>263</v>
      </c>
      <c r="G20" s="5" t="n">
        <v>310</v>
      </c>
      <c r="H20" s="5" t="n">
        <f aca="false">SUM(C20:G20)</f>
        <v>1220</v>
      </c>
    </row>
    <row r="21" customFormat="false" ht="15" hidden="false" customHeight="false" outlineLevel="0" collapsed="false">
      <c r="A21" s="4" t="n">
        <v>17</v>
      </c>
      <c r="B21" s="4" t="s">
        <v>42</v>
      </c>
      <c r="C21" s="5" t="n">
        <v>80</v>
      </c>
      <c r="D21" s="5" t="n">
        <v>56</v>
      </c>
      <c r="E21" s="5" t="n">
        <v>68</v>
      </c>
      <c r="F21" s="5" t="n">
        <v>65</v>
      </c>
      <c r="G21" s="5" t="n">
        <v>107</v>
      </c>
      <c r="H21" s="5" t="n">
        <f aca="false">SUM(C21:G21)</f>
        <v>376</v>
      </c>
    </row>
    <row r="22" customFormat="false" ht="15" hidden="false" customHeight="false" outlineLevel="0" collapsed="false">
      <c r="A22" s="4" t="n">
        <v>18</v>
      </c>
      <c r="B22" s="4" t="s">
        <v>43</v>
      </c>
      <c r="C22" s="5" t="n">
        <v>335</v>
      </c>
      <c r="D22" s="5" t="n">
        <v>246</v>
      </c>
      <c r="E22" s="5" t="n">
        <v>286</v>
      </c>
      <c r="F22" s="5" t="n">
        <v>380</v>
      </c>
      <c r="G22" s="5" t="n">
        <v>291</v>
      </c>
      <c r="H22" s="5" t="n">
        <f aca="false">SUM(C22:G22)</f>
        <v>1538</v>
      </c>
    </row>
    <row r="23" customFormat="false" ht="15" hidden="false" customHeight="false" outlineLevel="0" collapsed="false">
      <c r="A23" s="4" t="n">
        <v>19</v>
      </c>
      <c r="B23" s="4" t="s">
        <v>44</v>
      </c>
      <c r="C23" s="5" t="n">
        <v>11794</v>
      </c>
      <c r="D23" s="5" t="n">
        <v>11177</v>
      </c>
      <c r="E23" s="5" t="n">
        <v>8822</v>
      </c>
      <c r="F23" s="5" t="n">
        <v>9782</v>
      </c>
      <c r="G23" s="5" t="n">
        <v>10302</v>
      </c>
      <c r="H23" s="5" t="n">
        <f aca="false">SUM(C23:G23)</f>
        <v>51877</v>
      </c>
    </row>
    <row r="24" customFormat="false" ht="15" hidden="false" customHeight="false" outlineLevel="0" collapsed="false">
      <c r="A24" s="4" t="n">
        <v>20</v>
      </c>
      <c r="B24" s="4" t="s">
        <v>45</v>
      </c>
      <c r="C24" s="5" t="n">
        <v>3384</v>
      </c>
      <c r="D24" s="5" t="n">
        <v>3812</v>
      </c>
      <c r="E24" s="5" t="n">
        <v>2904</v>
      </c>
      <c r="F24" s="5" t="n">
        <v>3072</v>
      </c>
      <c r="G24" s="5" t="n">
        <v>3324</v>
      </c>
      <c r="H24" s="5" t="n">
        <f aca="false">SUM(C24:G24)</f>
        <v>16496</v>
      </c>
    </row>
    <row r="25" customFormat="false" ht="15" hidden="false" customHeight="false" outlineLevel="0" collapsed="false">
      <c r="A25" s="4" t="n">
        <v>21</v>
      </c>
      <c r="B25" s="4" t="s">
        <v>46</v>
      </c>
      <c r="C25" s="5" t="n">
        <v>21547</v>
      </c>
      <c r="D25" s="5" t="n">
        <v>22979</v>
      </c>
      <c r="E25" s="5" t="n">
        <v>16769</v>
      </c>
      <c r="F25" s="5" t="n">
        <v>19344</v>
      </c>
      <c r="G25" s="5" t="n">
        <v>22293</v>
      </c>
      <c r="H25" s="5" t="n">
        <f aca="false">SUM(C25:G25)</f>
        <v>102932</v>
      </c>
    </row>
    <row r="26" customFormat="false" ht="15" hidden="false" customHeight="false" outlineLevel="0" collapsed="false">
      <c r="A26" s="4" t="n">
        <v>22</v>
      </c>
      <c r="B26" s="4" t="s">
        <v>47</v>
      </c>
      <c r="C26" s="5" t="n">
        <v>370</v>
      </c>
      <c r="D26" s="5" t="n">
        <v>318</v>
      </c>
      <c r="E26" s="5" t="n">
        <v>218</v>
      </c>
      <c r="F26" s="5" t="n">
        <v>244</v>
      </c>
      <c r="G26" s="5" t="n">
        <v>354</v>
      </c>
      <c r="H26" s="5" t="n">
        <f aca="false">SUM(C26:G26)</f>
        <v>1504</v>
      </c>
    </row>
    <row r="27" customFormat="false" ht="15" hidden="false" customHeight="false" outlineLevel="0" collapsed="false">
      <c r="A27" s="4" t="n">
        <v>23</v>
      </c>
      <c r="B27" s="4" t="s">
        <v>48</v>
      </c>
      <c r="C27" s="5" t="n">
        <v>69834</v>
      </c>
      <c r="D27" s="5" t="n">
        <v>63132</v>
      </c>
      <c r="E27" s="5" t="n">
        <v>47618</v>
      </c>
      <c r="F27" s="5" t="n">
        <v>55996</v>
      </c>
      <c r="G27" s="5" t="n">
        <v>67703</v>
      </c>
      <c r="H27" s="5" t="n">
        <f aca="false">SUM(C27:G27)</f>
        <v>304283</v>
      </c>
    </row>
    <row r="28" customFormat="false" ht="15" hidden="false" customHeight="false" outlineLevel="0" collapsed="false">
      <c r="A28" s="4" t="n">
        <v>24</v>
      </c>
      <c r="B28" s="4" t="s">
        <v>49</v>
      </c>
      <c r="C28" s="5" t="n">
        <v>23613</v>
      </c>
      <c r="D28" s="5" t="n">
        <v>21999</v>
      </c>
      <c r="E28" s="5" t="n">
        <v>18661</v>
      </c>
      <c r="F28" s="5" t="n">
        <v>20107</v>
      </c>
      <c r="G28" s="5" t="n">
        <v>20209</v>
      </c>
      <c r="H28" s="5" t="n">
        <f aca="false">SUM(C28:G28)</f>
        <v>104589</v>
      </c>
    </row>
    <row r="29" customFormat="false" ht="15" hidden="false" customHeight="false" outlineLevel="0" collapsed="false">
      <c r="A29" s="4" t="n">
        <v>25</v>
      </c>
      <c r="B29" s="4" t="s">
        <v>50</v>
      </c>
      <c r="C29" s="5" t="n">
        <v>741</v>
      </c>
      <c r="D29" s="5" t="n">
        <v>816</v>
      </c>
      <c r="E29" s="5" t="n">
        <v>470</v>
      </c>
      <c r="F29" s="5" t="n">
        <v>547</v>
      </c>
      <c r="G29" s="5" t="n">
        <v>541</v>
      </c>
      <c r="H29" s="5" t="n">
        <f aca="false">SUM(C29:G29)</f>
        <v>3115</v>
      </c>
    </row>
    <row r="30" customFormat="false" ht="15" hidden="false" customHeight="false" outlineLevel="0" collapsed="false">
      <c r="A30" s="4" t="n">
        <v>26</v>
      </c>
      <c r="B30" s="4" t="s">
        <v>51</v>
      </c>
      <c r="C30" s="5" t="n">
        <v>1571</v>
      </c>
      <c r="D30" s="5" t="n">
        <v>1457</v>
      </c>
      <c r="E30" s="5" t="n">
        <v>854</v>
      </c>
      <c r="F30" s="5" t="n">
        <v>1091</v>
      </c>
      <c r="G30" s="5" t="n">
        <v>1613</v>
      </c>
      <c r="H30" s="5" t="n">
        <f aca="false">SUM(C30:G30)</f>
        <v>6586</v>
      </c>
    </row>
    <row r="31" customFormat="false" ht="15" hidden="false" customHeight="false" outlineLevel="0" collapsed="false">
      <c r="A31" s="4" t="n">
        <v>27</v>
      </c>
      <c r="B31" s="4" t="s">
        <v>52</v>
      </c>
      <c r="C31" s="5" t="n">
        <v>29664</v>
      </c>
      <c r="D31" s="5" t="n">
        <v>28932</v>
      </c>
      <c r="E31" s="5" t="n">
        <v>22410</v>
      </c>
      <c r="F31" s="5" t="n">
        <v>24897</v>
      </c>
      <c r="G31" s="5" t="n">
        <v>28541</v>
      </c>
      <c r="H31" s="5" t="n">
        <f aca="false">SUM(C31:G31)</f>
        <v>134444</v>
      </c>
    </row>
    <row r="32" customFormat="false" ht="15" hidden="false" customHeight="false" outlineLevel="0" collapsed="false">
      <c r="A32" s="4" t="n">
        <v>28</v>
      </c>
      <c r="B32" s="4" t="s">
        <v>53</v>
      </c>
      <c r="C32" s="5" t="n">
        <v>11997</v>
      </c>
      <c r="D32" s="5" t="n">
        <v>11761</v>
      </c>
      <c r="E32" s="5" t="n">
        <v>9715</v>
      </c>
      <c r="F32" s="5" t="n">
        <v>10454</v>
      </c>
      <c r="G32" s="5" t="n">
        <v>12843</v>
      </c>
      <c r="H32" s="5" t="n">
        <f aca="false">SUM(C32:G32)</f>
        <v>56770</v>
      </c>
    </row>
    <row r="33" customFormat="false" ht="15" hidden="false" customHeight="false" outlineLevel="0" collapsed="false">
      <c r="A33" s="4" t="n">
        <v>29</v>
      </c>
      <c r="B33" s="4" t="s">
        <v>54</v>
      </c>
      <c r="C33" s="5" t="n">
        <v>260</v>
      </c>
      <c r="D33" s="5" t="n">
        <v>207</v>
      </c>
      <c r="E33" s="5" t="n">
        <v>145</v>
      </c>
      <c r="F33" s="5" t="n">
        <v>97</v>
      </c>
      <c r="G33" s="5" t="n">
        <v>136</v>
      </c>
      <c r="H33" s="5" t="n">
        <f aca="false">SUM(C33:G33)</f>
        <v>845</v>
      </c>
    </row>
    <row r="34" customFormat="false" ht="15" hidden="false" customHeight="false" outlineLevel="0" collapsed="false">
      <c r="A34" s="4" t="n">
        <v>30</v>
      </c>
      <c r="B34" s="4" t="s">
        <v>55</v>
      </c>
      <c r="C34" s="5" t="n">
        <v>300</v>
      </c>
      <c r="D34" s="5" t="n">
        <v>275</v>
      </c>
      <c r="E34" s="5" t="n">
        <v>148</v>
      </c>
      <c r="F34" s="5" t="n">
        <v>172</v>
      </c>
      <c r="G34" s="5" t="n">
        <v>203</v>
      </c>
      <c r="H34" s="5" t="n">
        <f aca="false">SUM(C34:G34)</f>
        <v>1098</v>
      </c>
    </row>
    <row r="35" customFormat="false" ht="15" hidden="false" customHeight="false" outlineLevel="0" collapsed="false">
      <c r="A35" s="4" t="n">
        <v>31</v>
      </c>
      <c r="B35" s="4" t="s">
        <v>56</v>
      </c>
      <c r="C35" s="5" t="n">
        <v>66</v>
      </c>
      <c r="D35" s="5" t="n">
        <v>105</v>
      </c>
      <c r="E35" s="5" t="n">
        <v>119</v>
      </c>
      <c r="F35" s="5" t="n">
        <v>171</v>
      </c>
      <c r="G35" s="5" t="n">
        <v>273</v>
      </c>
      <c r="H35" s="5" t="n">
        <f aca="false">SUM(C35:G35)</f>
        <v>734</v>
      </c>
    </row>
    <row r="36" customFormat="false" ht="15" hidden="false" customHeight="false" outlineLevel="0" collapsed="false">
      <c r="A36" s="4" t="n">
        <v>32</v>
      </c>
      <c r="B36" s="4" t="s">
        <v>57</v>
      </c>
      <c r="C36" s="5" t="n">
        <v>94</v>
      </c>
      <c r="D36" s="5" t="n">
        <v>74</v>
      </c>
      <c r="E36" s="5"/>
      <c r="F36" s="5"/>
      <c r="G36" s="5"/>
      <c r="H36" s="5" t="n">
        <f aca="false">SUM(C36:G36)</f>
        <v>168</v>
      </c>
    </row>
    <row r="37" customFormat="false" ht="15" hidden="false" customHeight="false" outlineLevel="0" collapsed="false">
      <c r="A37" s="4" t="n">
        <v>33</v>
      </c>
      <c r="B37" s="4" t="s">
        <v>58</v>
      </c>
      <c r="C37" s="5" t="n">
        <v>6086</v>
      </c>
      <c r="D37" s="5" t="n">
        <v>5152</v>
      </c>
      <c r="E37" s="5" t="n">
        <v>3662</v>
      </c>
      <c r="F37" s="5" t="n">
        <v>4273</v>
      </c>
      <c r="G37" s="5" t="n">
        <v>5201</v>
      </c>
      <c r="H37" s="5" t="n">
        <f aca="false">SUM(C37:G37)</f>
        <v>24374</v>
      </c>
    </row>
    <row r="38" customFormat="false" ht="15" hidden="false" customHeight="false" outlineLevel="0" collapsed="false">
      <c r="A38" s="4" t="n">
        <v>34</v>
      </c>
      <c r="B38" s="4" t="s">
        <v>59</v>
      </c>
      <c r="C38" s="5" t="n">
        <v>7845</v>
      </c>
      <c r="D38" s="5" t="n">
        <v>7532</v>
      </c>
      <c r="E38" s="5" t="n">
        <v>5894</v>
      </c>
      <c r="F38" s="5" t="n">
        <v>6972</v>
      </c>
      <c r="G38" s="5" t="n">
        <v>8372</v>
      </c>
      <c r="H38" s="5" t="n">
        <f aca="false">SUM(C38:G38)</f>
        <v>36615</v>
      </c>
    </row>
    <row r="39" customFormat="false" ht="15" hidden="false" customHeight="false" outlineLevel="0" collapsed="false">
      <c r="A39" s="4" t="n">
        <v>35</v>
      </c>
      <c r="B39" s="4" t="s">
        <v>60</v>
      </c>
      <c r="C39" s="5"/>
      <c r="D39" s="5"/>
      <c r="E39" s="5"/>
      <c r="F39" s="5" t="n">
        <v>242</v>
      </c>
      <c r="G39" s="5" t="n">
        <v>346</v>
      </c>
      <c r="H39" s="5" t="n">
        <f aca="false">SUM(C39:G39)</f>
        <v>588</v>
      </c>
    </row>
    <row r="40" customFormat="false" ht="15" hidden="false" customHeight="false" outlineLevel="0" collapsed="false">
      <c r="A40" s="4" t="n">
        <v>36</v>
      </c>
      <c r="B40" s="4" t="s">
        <v>61</v>
      </c>
      <c r="C40" s="5" t="n">
        <v>3</v>
      </c>
      <c r="D40" s="5" t="n">
        <v>1</v>
      </c>
      <c r="E40" s="5" t="n">
        <v>1</v>
      </c>
      <c r="F40" s="5" t="n">
        <v>6</v>
      </c>
      <c r="G40" s="5" t="n">
        <v>2</v>
      </c>
      <c r="H40" s="5" t="n">
        <f aca="false">SUM(C40:G40)</f>
        <v>13</v>
      </c>
    </row>
    <row r="41" customFormat="false" ht="15" hidden="false" customHeight="false" outlineLevel="0" collapsed="false">
      <c r="A41" s="4" t="n">
        <v>37</v>
      </c>
      <c r="B41" s="4" t="s">
        <v>62</v>
      </c>
      <c r="C41" s="5" t="n">
        <v>1727</v>
      </c>
      <c r="D41" s="5" t="n">
        <v>1619</v>
      </c>
      <c r="E41" s="5" t="n">
        <v>1019</v>
      </c>
      <c r="F41" s="5" t="n">
        <v>1099</v>
      </c>
      <c r="G41" s="5" t="n">
        <v>1282</v>
      </c>
      <c r="H41" s="5" t="n">
        <f aca="false">SUM(C41:G41)</f>
        <v>6746</v>
      </c>
    </row>
    <row r="42" customFormat="false" ht="15" hidden="false" customHeight="false" outlineLevel="0" collapsed="false">
      <c r="A42" s="10"/>
      <c r="B42" s="11" t="s">
        <v>63</v>
      </c>
      <c r="C42" s="12" t="n">
        <f aca="false">SUM(C5:C41)</f>
        <v>464715</v>
      </c>
      <c r="D42" s="12" t="n">
        <f aca="false">SUM(D5:D41)</f>
        <v>449360</v>
      </c>
      <c r="E42" s="12" t="n">
        <f aca="false">SUM(E5:E41)</f>
        <v>346747</v>
      </c>
      <c r="F42" s="12" t="n">
        <f aca="false">SUM(F5:F41)</f>
        <v>384448</v>
      </c>
      <c r="G42" s="12" t="n">
        <f aca="false">SUM(G5:G41)</f>
        <v>443366</v>
      </c>
      <c r="H42" s="12" t="n">
        <f aca="false">SUM(H5:H41)</f>
        <v>2088636</v>
      </c>
    </row>
    <row r="44" customFormat="false" ht="15" hidden="false" customHeight="false" outlineLevel="0" collapsed="false">
      <c r="A44" s="2" t="s">
        <v>64</v>
      </c>
      <c r="B44" s="2"/>
      <c r="C44" s="2"/>
      <c r="D44" s="2"/>
      <c r="E44" s="2"/>
      <c r="F44" s="2"/>
      <c r="G44" s="2"/>
      <c r="H44" s="2"/>
    </row>
  </sheetData>
  <mergeCells count="3">
    <mergeCell ref="A1:G1"/>
    <mergeCell ref="A2:G2"/>
    <mergeCell ref="A44:H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2026-09-11T06:50:11Z</dcterms:created>
  <dc:creator>openpyxl</dc:creator>
  <dc:description/>
  <dc:language>en-US</dc:language>
  <cp:lastModifiedBy/>
  <dcterms:modified xsi:type="dcterms:W3CDTF">2026-09-11T06:50:11Z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